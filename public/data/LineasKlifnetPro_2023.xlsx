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DISK_IMG/"/>
    </mc:Choice>
  </mc:AlternateContent>
  <xr:revisionPtr revIDLastSave="0" documentId="13_ncr:1_{45EF46A8-A0CF-5A40-8CD5-80DF315D81FC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Principal" sheetId="1" r:id="rId1"/>
    <sheet name="StockEmprenet" sheetId="8" r:id="rId2"/>
    <sheet name="Costos" sheetId="6" r:id="rId3"/>
    <sheet name="Reporte" sheetId="7" r:id="rId4"/>
    <sheet name="Hoja5" sheetId="5" r:id="rId5"/>
    <sheet name="Baja28042021" sheetId="4" r:id="rId6"/>
    <sheet name="Hoja2" sheetId="2" r:id="rId7"/>
    <sheet name="Hoja3" sheetId="3" r:id="rId8"/>
    <sheet name="Sugerencia1" sheetId="11" r:id="rId9"/>
    <sheet name="Sugerencia2" sheetId="12" r:id="rId10"/>
    <sheet name="Sugerencia3" sheetId="13" r:id="rId11"/>
    <sheet name="Hoja1" sheetId="15" r:id="rId12"/>
    <sheet name="Sugerencia4" sheetId="14" r:id="rId13"/>
  </sheets>
  <definedNames>
    <definedName name="_xlnm._FilterDatabase" localSheetId="6" hidden="1">Hoja2!$C$211:$D$221</definedName>
    <definedName name="_xlnm._FilterDatabase" localSheetId="7" hidden="1">Hoja3!$D$66:$E$76</definedName>
    <definedName name="_xlnm._FilterDatabase" localSheetId="0" hidden="1">Principal!$B$6:$Q$671</definedName>
    <definedName name="SegmentaciónDeDatos_Plataforma">#N/A</definedName>
    <definedName name="SegmentaciónDeDatos_Proveedor">#N/A</definedName>
  </definedNames>
  <calcPr calcId="191029"/>
  <pivotCaches>
    <pivotCache cacheId="1" r:id="rId1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5"/>
        <x14:slicerCache r:id="rId16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99" i="1" l="1"/>
  <c r="B600" i="1"/>
  <c r="B74" i="1"/>
  <c r="B594" i="1"/>
  <c r="B297" i="1"/>
  <c r="B295" i="1"/>
  <c r="B26" i="1"/>
  <c r="B85" i="1"/>
  <c r="B308" i="1"/>
  <c r="B320" i="1"/>
  <c r="B302" i="1"/>
  <c r="B514" i="1"/>
  <c r="B596" i="1"/>
  <c r="B337" i="1"/>
  <c r="B357" i="1"/>
  <c r="B481" i="1"/>
  <c r="B82" i="1"/>
  <c r="B598" i="1"/>
  <c r="B8" i="1"/>
  <c r="B84" i="1"/>
  <c r="B127" i="1"/>
  <c r="B595" i="1"/>
  <c r="B83" i="1"/>
  <c r="B597" i="1"/>
  <c r="B535" i="1"/>
  <c r="B484" i="1"/>
  <c r="B479" i="1"/>
  <c r="B160" i="1"/>
  <c r="B299" i="1"/>
  <c r="B298" i="1"/>
  <c r="B161" i="1"/>
  <c r="B25" i="1"/>
  <c r="B296" i="1"/>
  <c r="B64" i="1"/>
  <c r="B291" i="1"/>
  <c r="B363" i="1"/>
  <c r="B601" i="1"/>
  <c r="B7" i="1"/>
  <c r="B360" i="1"/>
  <c r="B344" i="1"/>
  <c r="B485" i="1"/>
  <c r="B362" i="1"/>
  <c r="B24" i="1"/>
  <c r="B125" i="1"/>
  <c r="B123" i="1"/>
  <c r="G672" i="1" l="1"/>
  <c r="Q672" i="1"/>
  <c r="F326" i="1"/>
  <c r="F325" i="1"/>
  <c r="F324" i="1"/>
  <c r="H324" i="1" s="1"/>
  <c r="D11" i="6"/>
  <c r="E11" i="6" s="1"/>
  <c r="J10" i="6" a="1"/>
  <c r="J10" i="6" s="1"/>
  <c r="C10" i="6" s="1"/>
  <c r="D10" i="6"/>
  <c r="J9" i="6" a="1"/>
  <c r="J9" i="6" s="1"/>
  <c r="C9" i="6" s="1"/>
  <c r="D5" i="6"/>
  <c r="E5" i="6" s="1"/>
  <c r="D6" i="6"/>
  <c r="E6" i="6" s="1"/>
  <c r="D7" i="6"/>
  <c r="E7" i="6" s="1"/>
  <c r="D8" i="6"/>
  <c r="E8" i="6" s="1"/>
  <c r="D9" i="6"/>
  <c r="D4" i="6"/>
  <c r="E4" i="6" s="1"/>
  <c r="E10" i="6" l="1"/>
  <c r="E9" i="6"/>
  <c r="I41" i="3"/>
  <c r="H41" i="3"/>
  <c r="G41" i="3"/>
  <c r="H40" i="3"/>
  <c r="G40" i="3"/>
  <c r="H326" i="1" l="1"/>
  <c r="H3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<sst xmlns="http://schemas.openxmlformats.org/spreadsheetml/2006/main" count="9059" uniqueCount="2831">
  <si>
    <t>icc</t>
  </si>
  <si>
    <t>msisdn</t>
  </si>
  <si>
    <t>imei</t>
  </si>
  <si>
    <t>Nombre</t>
  </si>
  <si>
    <t>Imei Corto</t>
  </si>
  <si>
    <t>Ram Promaster</t>
  </si>
  <si>
    <t>I_Mercurio</t>
  </si>
  <si>
    <t>Suntech ST300R</t>
  </si>
  <si>
    <t>007000096</t>
  </si>
  <si>
    <t>Nissan LB53868</t>
  </si>
  <si>
    <t>GrupoCarmich</t>
  </si>
  <si>
    <t>007288518</t>
  </si>
  <si>
    <t>Kenwort 832-AR5</t>
  </si>
  <si>
    <t>TransportesGomo</t>
  </si>
  <si>
    <t>007288520</t>
  </si>
  <si>
    <t>Ram Promaster NCX-5612</t>
  </si>
  <si>
    <t>007288521</t>
  </si>
  <si>
    <t>Freightliner</t>
  </si>
  <si>
    <t>TransportesFPJ</t>
  </si>
  <si>
    <t>007353405</t>
  </si>
  <si>
    <t>KW 61-AK-8G</t>
  </si>
  <si>
    <t>DistribuidoraPremio999</t>
  </si>
  <si>
    <t>DistribuidoraPremio</t>
  </si>
  <si>
    <t>007353407</t>
  </si>
  <si>
    <t>CHEVROLET CORRALES</t>
  </si>
  <si>
    <t>Zacaula2</t>
  </si>
  <si>
    <t>007354146</t>
  </si>
  <si>
    <t>C-NP300 Mensajeria Aldair (7)</t>
  </si>
  <si>
    <t>Sistelec</t>
  </si>
  <si>
    <t>007354147</t>
  </si>
  <si>
    <t>Ford</t>
  </si>
  <si>
    <t>ElMundoGto</t>
  </si>
  <si>
    <t>007354271</t>
  </si>
  <si>
    <t>Nissan</t>
  </si>
  <si>
    <t>007354272</t>
  </si>
  <si>
    <t>KW 647-AF3</t>
  </si>
  <si>
    <t>007354274</t>
  </si>
  <si>
    <t>F350-2018</t>
  </si>
  <si>
    <t>Plasticos_VPSA</t>
  </si>
  <si>
    <t>007391151</t>
  </si>
  <si>
    <t>Ford F-550 JW16700</t>
  </si>
  <si>
    <t>Sidney_Explosivos</t>
  </si>
  <si>
    <t>007391801</t>
  </si>
  <si>
    <t>GDL 16 Ford 3.5 Tons</t>
  </si>
  <si>
    <t>GrupoAconcaguaGDL</t>
  </si>
  <si>
    <t>007391803</t>
  </si>
  <si>
    <t>Ford F-350 JW17183</t>
  </si>
  <si>
    <t>AustinExplosivos</t>
  </si>
  <si>
    <t>Austin_Explosivos</t>
  </si>
  <si>
    <t>007391816</t>
  </si>
  <si>
    <t>Ford F350 JW17184</t>
  </si>
  <si>
    <t>007391817</t>
  </si>
  <si>
    <t>CAMIONETA TORNADO</t>
  </si>
  <si>
    <t>Logyca</t>
  </si>
  <si>
    <t>007442030</t>
  </si>
  <si>
    <t>Saveiro</t>
  </si>
  <si>
    <t>007499125</t>
  </si>
  <si>
    <t>007499126</t>
  </si>
  <si>
    <t>Hilux JW-19554</t>
  </si>
  <si>
    <t>Suntech ST600R</t>
  </si>
  <si>
    <t>008441190</t>
  </si>
  <si>
    <t>GDL 14 International</t>
  </si>
  <si>
    <t>008441204</t>
  </si>
  <si>
    <t>GDL 15 International</t>
  </si>
  <si>
    <t>008441375</t>
  </si>
  <si>
    <t>TRACTO FREIGHTLINE</t>
  </si>
  <si>
    <t>008508003</t>
  </si>
  <si>
    <t>Kenworth 50-ae-1j</t>
  </si>
  <si>
    <t>008508023</t>
  </si>
  <si>
    <t>Highlander</t>
  </si>
  <si>
    <t>008510562</t>
  </si>
  <si>
    <t>Kenworth 749-EH6</t>
  </si>
  <si>
    <t>008511587</t>
  </si>
  <si>
    <t>Volvo 061-EV-8</t>
  </si>
  <si>
    <t>008511593</t>
  </si>
  <si>
    <t>Jamoneta</t>
  </si>
  <si>
    <t>SandraDennisse</t>
  </si>
  <si>
    <t>008595223</t>
  </si>
  <si>
    <t>FORD F350</t>
  </si>
  <si>
    <t>ElMundo1</t>
  </si>
  <si>
    <t>008595832</t>
  </si>
  <si>
    <t>F350 LB-53-879</t>
  </si>
  <si>
    <t>008596481</t>
  </si>
  <si>
    <t>F-450 LB-97906</t>
  </si>
  <si>
    <t>008596544</t>
  </si>
  <si>
    <t>Ram 4500</t>
  </si>
  <si>
    <t>UniversalAzulejos</t>
  </si>
  <si>
    <t>008598594</t>
  </si>
  <si>
    <t>Nissan NP300</t>
  </si>
  <si>
    <t>008599154</t>
  </si>
  <si>
    <t>SO-N77</t>
  </si>
  <si>
    <t>TransportesSolorio</t>
  </si>
  <si>
    <t>205222098</t>
  </si>
  <si>
    <t>M-04</t>
  </si>
  <si>
    <t>MutualidadMinerva</t>
  </si>
  <si>
    <t>205452049</t>
  </si>
  <si>
    <t>CITY JNG-92-81</t>
  </si>
  <si>
    <t>AutorentGDL</t>
  </si>
  <si>
    <t>205462893</t>
  </si>
  <si>
    <t>GRAND CARAVAN JPD-79-44</t>
  </si>
  <si>
    <t>205462895</t>
  </si>
  <si>
    <t>R YARIS JNG-3891</t>
  </si>
  <si>
    <t>205462896</t>
  </si>
  <si>
    <t>JETTA UKE-292-U</t>
  </si>
  <si>
    <t>205462897</t>
  </si>
  <si>
    <t>AVEO UKD-750-N</t>
  </si>
  <si>
    <t>205462898</t>
  </si>
  <si>
    <t>A HIACE JNH-85-67</t>
  </si>
  <si>
    <t>205463388</t>
  </si>
  <si>
    <t>S10 Blanca</t>
  </si>
  <si>
    <t>PinturasBarnices</t>
  </si>
  <si>
    <t>205463464</t>
  </si>
  <si>
    <t>Ranger MSV-0608</t>
  </si>
  <si>
    <t>Vika</t>
  </si>
  <si>
    <t>205475417</t>
  </si>
  <si>
    <t>B TOWN &amp; COUNTRY JNK-6142</t>
  </si>
  <si>
    <t>205475418</t>
  </si>
  <si>
    <t>C VENTO JPR-3247</t>
  </si>
  <si>
    <t>205475419</t>
  </si>
  <si>
    <t>205475420</t>
  </si>
  <si>
    <t>D VENTO UPH-744-A</t>
  </si>
  <si>
    <t>205475422</t>
  </si>
  <si>
    <t>Ranger-Edgar Olivares</t>
  </si>
  <si>
    <t>Sidney_GDL</t>
  </si>
  <si>
    <t>205475493</t>
  </si>
  <si>
    <t>#04 International JU-51 132</t>
  </si>
  <si>
    <t>GrupoAconcaguaMX</t>
  </si>
  <si>
    <t>Grupo AconcaguaMX</t>
  </si>
  <si>
    <t>205475494</t>
  </si>
  <si>
    <t>L200- JULIO GOMEZ</t>
  </si>
  <si>
    <t>205475495</t>
  </si>
  <si>
    <t>GDL 01 International</t>
  </si>
  <si>
    <t>GrupoAconcaguaNorte</t>
  </si>
  <si>
    <t>205475497</t>
  </si>
  <si>
    <t>L200-Basilio Hernandez</t>
  </si>
  <si>
    <t>Austin_GDL</t>
  </si>
  <si>
    <t>205475498</t>
  </si>
  <si>
    <t>GDL 11 Dina</t>
  </si>
  <si>
    <t>205475499</t>
  </si>
  <si>
    <t>Jeep Patriot-ALVARO MINAKATA</t>
  </si>
  <si>
    <t>205475504</t>
  </si>
  <si>
    <t>NP300 EXPLOSIVOS</t>
  </si>
  <si>
    <t>205475505</t>
  </si>
  <si>
    <t>Hilux- Alfredo Garnica</t>
  </si>
  <si>
    <t>205475506</t>
  </si>
  <si>
    <t>FLD120 1992</t>
  </si>
  <si>
    <t>DavidVarela</t>
  </si>
  <si>
    <t>205475507</t>
  </si>
  <si>
    <t>L200- NOE SUAZO</t>
  </si>
  <si>
    <t>205475510</t>
  </si>
  <si>
    <t>GDL 02 Dina</t>
  </si>
  <si>
    <t>205475511</t>
  </si>
  <si>
    <t>Jetta ANTONIO NAVARRO</t>
  </si>
  <si>
    <t>205495164</t>
  </si>
  <si>
    <t>Kenworth 864-AL7</t>
  </si>
  <si>
    <t>205495480</t>
  </si>
  <si>
    <t>CAMION MERCEDES</t>
  </si>
  <si>
    <t>205495672</t>
  </si>
  <si>
    <t>Hilux Bazar</t>
  </si>
  <si>
    <t>MuebleriaBazar</t>
  </si>
  <si>
    <t>205495795</t>
  </si>
  <si>
    <t>CAMIONETA NP 300</t>
  </si>
  <si>
    <t>205495797</t>
  </si>
  <si>
    <t>T-Tiida Blanco</t>
  </si>
  <si>
    <t>205495798</t>
  </si>
  <si>
    <t>GDL 12 International</t>
  </si>
  <si>
    <t>205496937</t>
  </si>
  <si>
    <t>URVAN JNP-5688</t>
  </si>
  <si>
    <t>205496939</t>
  </si>
  <si>
    <t>GDL 03 mercedes</t>
  </si>
  <si>
    <t>205496940</t>
  </si>
  <si>
    <t>A TOWN &amp; COUNTRY JMZ-61-80</t>
  </si>
  <si>
    <t>205496941</t>
  </si>
  <si>
    <t>CAMIONETA RAM 4000</t>
  </si>
  <si>
    <t>205911884</t>
  </si>
  <si>
    <t>PTAATTITUDE JNS-3835</t>
  </si>
  <si>
    <t>205912310</t>
  </si>
  <si>
    <t>BCO ATTITUDE JNS-3836</t>
  </si>
  <si>
    <t>205912598</t>
  </si>
  <si>
    <t>Hino</t>
  </si>
  <si>
    <t>Tornimaster</t>
  </si>
  <si>
    <t>205912877</t>
  </si>
  <si>
    <t>Isuzu ELF300</t>
  </si>
  <si>
    <t>205912878</t>
  </si>
  <si>
    <t>TornimasterMty</t>
  </si>
  <si>
    <t>205912879</t>
  </si>
  <si>
    <t>UP JNH-8971</t>
  </si>
  <si>
    <t>205912880</t>
  </si>
  <si>
    <t>Volvo 2001</t>
  </si>
  <si>
    <t>205912881</t>
  </si>
  <si>
    <t>C-Ram Rene (5)</t>
  </si>
  <si>
    <t>205913335</t>
  </si>
  <si>
    <t>C-Grua Torton (1) Malco</t>
  </si>
  <si>
    <t>205913336</t>
  </si>
  <si>
    <t>C-Grua - Mercedes - Patio (4) Oscar</t>
  </si>
  <si>
    <t>205913837</t>
  </si>
  <si>
    <t>C-Grua  Intern 2012 LuisAlonso (3)</t>
  </si>
  <si>
    <t>205913838</t>
  </si>
  <si>
    <t>C-NP300 2015 (6) Benajmin</t>
  </si>
  <si>
    <t>205913839</t>
  </si>
  <si>
    <t>T-Grua Jacob</t>
  </si>
  <si>
    <t>205913840</t>
  </si>
  <si>
    <t>T-NP300</t>
  </si>
  <si>
    <t>205913841</t>
  </si>
  <si>
    <t>X-NP300 Miguel</t>
  </si>
  <si>
    <t>205913842</t>
  </si>
  <si>
    <t>T-Tiida Dorado TXT</t>
  </si>
  <si>
    <t>205913843</t>
  </si>
  <si>
    <t>Cheyenne</t>
  </si>
  <si>
    <t>DenisseCasas</t>
  </si>
  <si>
    <t>205913844</t>
  </si>
  <si>
    <t>X-Grua Cristhian</t>
  </si>
  <si>
    <t>205913845</t>
  </si>
  <si>
    <t>C-Grua 2004 (2) Salvador</t>
  </si>
  <si>
    <t>205913846</t>
  </si>
  <si>
    <t>(62) Colorado FB-86317</t>
  </si>
  <si>
    <t>ImplementosDgo</t>
  </si>
  <si>
    <t>205929247</t>
  </si>
  <si>
    <t>MexicanaEnvases</t>
  </si>
  <si>
    <t>Queclink GV55</t>
  </si>
  <si>
    <t>862193020442521</t>
  </si>
  <si>
    <t>International 511-ES8</t>
  </si>
  <si>
    <t>RicoOchoa</t>
  </si>
  <si>
    <t>862193020685533</t>
  </si>
  <si>
    <t>Sin. Aveo</t>
  </si>
  <si>
    <t>IDAsesoria</t>
  </si>
  <si>
    <t>862193026533331</t>
  </si>
  <si>
    <t>Frontier- Olaf Olivos</t>
  </si>
  <si>
    <t>862193026534339</t>
  </si>
  <si>
    <t>Dist_Premio999</t>
  </si>
  <si>
    <t>Dist_Premio</t>
  </si>
  <si>
    <t>GDL 07 Nissan</t>
  </si>
  <si>
    <t>862193026620831</t>
  </si>
  <si>
    <t>L200-Francisco Mejía</t>
  </si>
  <si>
    <t>862193026898866</t>
  </si>
  <si>
    <t>Worker JU-092</t>
  </si>
  <si>
    <t>862193027100577</t>
  </si>
  <si>
    <t>Honda Accord</t>
  </si>
  <si>
    <t>862193027800473</t>
  </si>
  <si>
    <t>A VENTO NEGRO JNG-7919</t>
  </si>
  <si>
    <t>862193027825223</t>
  </si>
  <si>
    <t>GDL 05 Ford 4.5 Tons</t>
  </si>
  <si>
    <t>862193027989847</t>
  </si>
  <si>
    <t>Kenworth 171-AJ4</t>
  </si>
  <si>
    <t>TransportesGonzalez</t>
  </si>
  <si>
    <t>862193027990753</t>
  </si>
  <si>
    <t>B VENTO JPJ-4555</t>
  </si>
  <si>
    <t>862193028009470</t>
  </si>
  <si>
    <t>GDL 06 Nissan</t>
  </si>
  <si>
    <t>862193028009645</t>
  </si>
  <si>
    <t>Tracto 1</t>
  </si>
  <si>
    <t>RomoTransportes</t>
  </si>
  <si>
    <t>862193028011989</t>
  </si>
  <si>
    <t>JEEP COMPASS JLN-5278</t>
  </si>
  <si>
    <t>862193028798866</t>
  </si>
  <si>
    <t>B HIACE JNX-93-37</t>
  </si>
  <si>
    <t>862193028800316</t>
  </si>
  <si>
    <t>(65) Ranger FB-86318  Hazael</t>
  </si>
  <si>
    <t>Queclink GV300</t>
  </si>
  <si>
    <t>863286020813847</t>
  </si>
  <si>
    <t>MX HT042 323-ZAZ</t>
  </si>
  <si>
    <t>Simbiosys</t>
  </si>
  <si>
    <t>863830030006908</t>
  </si>
  <si>
    <t>C-NP300 2018 (8) Rene</t>
  </si>
  <si>
    <t>863830030007294</t>
  </si>
  <si>
    <t>Tornado</t>
  </si>
  <si>
    <t>863830030008623</t>
  </si>
  <si>
    <t>L200 Julio Gomez</t>
  </si>
  <si>
    <t>863830030008797</t>
  </si>
  <si>
    <t>NP300-NOGALES</t>
  </si>
  <si>
    <t>EntregasOO</t>
  </si>
  <si>
    <t>863830030008839</t>
  </si>
  <si>
    <t>Peugeot Partner</t>
  </si>
  <si>
    <t>863830030008854</t>
  </si>
  <si>
    <t>YARIS JDP-80-19</t>
  </si>
  <si>
    <t>863830030011445</t>
  </si>
  <si>
    <t>GDL CR-V</t>
  </si>
  <si>
    <t>863830030044677</t>
  </si>
  <si>
    <t>Sin. Vento</t>
  </si>
  <si>
    <t>863830030046987</t>
  </si>
  <si>
    <t>Camion 2</t>
  </si>
  <si>
    <t>ArmandoB</t>
  </si>
  <si>
    <t>863830030123661</t>
  </si>
  <si>
    <t>NP300 GDL</t>
  </si>
  <si>
    <t>863830030133694</t>
  </si>
  <si>
    <t>MX HT247 442-ZAZ</t>
  </si>
  <si>
    <t>863830030142711</t>
  </si>
  <si>
    <t>MX HT044 826-YHM</t>
  </si>
  <si>
    <t>863830030143487</t>
  </si>
  <si>
    <t>Nissan 2018</t>
  </si>
  <si>
    <t>863830030146944</t>
  </si>
  <si>
    <t>Frontier Israel Glz</t>
  </si>
  <si>
    <t>863830030150847</t>
  </si>
  <si>
    <t>Honda Fit</t>
  </si>
  <si>
    <t>TransportesAyala</t>
  </si>
  <si>
    <t>863830030150896</t>
  </si>
  <si>
    <t>Nissan 2010</t>
  </si>
  <si>
    <t>863830030151068</t>
  </si>
  <si>
    <t>L200 Eduardo Juarez</t>
  </si>
  <si>
    <t>863830030151175</t>
  </si>
  <si>
    <t>MX HT041 459-ZVE</t>
  </si>
  <si>
    <t>863830030153726</t>
  </si>
  <si>
    <t>Camion 1</t>
  </si>
  <si>
    <t>863830030154245</t>
  </si>
  <si>
    <t>AVEO OFICINA - Erik Gonzalez</t>
  </si>
  <si>
    <t>863830030158568</t>
  </si>
  <si>
    <t>Ram 4000</t>
  </si>
  <si>
    <t>863830031426956</t>
  </si>
  <si>
    <t>Ram Daniel Rivera</t>
  </si>
  <si>
    <t>AustinTorreon</t>
  </si>
  <si>
    <t>863830031433739</t>
  </si>
  <si>
    <t>Seat Leon</t>
  </si>
  <si>
    <t>863830031438217</t>
  </si>
  <si>
    <t>Hyundai Eduardo Salazar</t>
  </si>
  <si>
    <t>863830031441658</t>
  </si>
  <si>
    <t>Aveo Morelia</t>
  </si>
  <si>
    <t>863830031811546</t>
  </si>
  <si>
    <t>Grua 02 Mario</t>
  </si>
  <si>
    <t>863830031811629</t>
  </si>
  <si>
    <t>NP300 MX</t>
  </si>
  <si>
    <t>863830031832641</t>
  </si>
  <si>
    <t>Volvo 1997</t>
  </si>
  <si>
    <t>863830031904747</t>
  </si>
  <si>
    <t>Fansa 336-EG2</t>
  </si>
  <si>
    <t>863830031913300</t>
  </si>
  <si>
    <t>Portatil 02</t>
  </si>
  <si>
    <t>Isasa01</t>
  </si>
  <si>
    <t>ISASA</t>
  </si>
  <si>
    <t>Queclink GV500</t>
  </si>
  <si>
    <t>864251020152678</t>
  </si>
  <si>
    <t>(57) Kenworth FB-86327 ZAC (JOSE ALFONSO)</t>
  </si>
  <si>
    <t>Queclink GV75</t>
  </si>
  <si>
    <t>864802030312908</t>
  </si>
  <si>
    <t>(88) Silverado FM9848-A Victor</t>
  </si>
  <si>
    <t>864802030314599</t>
  </si>
  <si>
    <t>(78) Hilux FB-86336 Roberto S</t>
  </si>
  <si>
    <t>864802030318186</t>
  </si>
  <si>
    <t>(87) Ranger FB-86344 Daniel Razo</t>
  </si>
  <si>
    <t>864802030331445</t>
  </si>
  <si>
    <t>(53) Ram Gris FB-86338 Abraham Hdz</t>
  </si>
  <si>
    <t>864802030384006</t>
  </si>
  <si>
    <t>Yamuni</t>
  </si>
  <si>
    <t>Camioneta Cul</t>
  </si>
  <si>
    <t>864802030413029</t>
  </si>
  <si>
    <t>Grua 03 CHAVA</t>
  </si>
  <si>
    <t>864802030418853</t>
  </si>
  <si>
    <t>L200 -EDUARDO AGUILERA</t>
  </si>
  <si>
    <t>864802030443760</t>
  </si>
  <si>
    <t>Ram Pinturama</t>
  </si>
  <si>
    <t>Ruptela FM Eco4 Light</t>
  </si>
  <si>
    <t>867688038819649</t>
  </si>
  <si>
    <t>RAM SM67139</t>
  </si>
  <si>
    <t>CES_Construccion</t>
  </si>
  <si>
    <t>867688038826792</t>
  </si>
  <si>
    <t>NP300 CENMEX1</t>
  </si>
  <si>
    <t>CenMex01</t>
  </si>
  <si>
    <t>CenMex</t>
  </si>
  <si>
    <t>867688038831875</t>
  </si>
  <si>
    <t>Hino 2019</t>
  </si>
  <si>
    <t>867688038832253</t>
  </si>
  <si>
    <t>Tiida GDL</t>
  </si>
  <si>
    <t>867688038832287</t>
  </si>
  <si>
    <t>Tornado Pinturama</t>
  </si>
  <si>
    <t>867688038834226</t>
  </si>
  <si>
    <t>T-Kodiak CW-87357</t>
  </si>
  <si>
    <t>867688038854844</t>
  </si>
  <si>
    <t>unidad 0035</t>
  </si>
  <si>
    <t>867688038873794</t>
  </si>
  <si>
    <t>VOLVO 597-EP9</t>
  </si>
  <si>
    <t>868789021005565</t>
  </si>
  <si>
    <t>Kenworth Azul</t>
  </si>
  <si>
    <t>868789021007165</t>
  </si>
  <si>
    <t>2 Isuzu GR-36332</t>
  </si>
  <si>
    <t>E_Migliore</t>
  </si>
  <si>
    <t>868789021389787</t>
  </si>
  <si>
    <t>4 Isuzu  GN-29478</t>
  </si>
  <si>
    <t>868789021389886</t>
  </si>
  <si>
    <t>F450-2019-6321</t>
  </si>
  <si>
    <t>868789021390124</t>
  </si>
  <si>
    <t>3 Isuzu GP 239 70</t>
  </si>
  <si>
    <t>868789021396733</t>
  </si>
  <si>
    <t>Isuzu nuevo</t>
  </si>
  <si>
    <t>868789021430532</t>
  </si>
  <si>
    <t>Kenworth</t>
  </si>
  <si>
    <t>MinasDerrumbadas</t>
  </si>
  <si>
    <t>868789021809859</t>
  </si>
  <si>
    <t>(80) Kenworth FB-86339 (JESUS BUEN ROSTRO)</t>
  </si>
  <si>
    <t>868789022565666</t>
  </si>
  <si>
    <t>Pilot</t>
  </si>
  <si>
    <t>868789022577976</t>
  </si>
  <si>
    <t>RAM 4000</t>
  </si>
  <si>
    <t>868789022694359</t>
  </si>
  <si>
    <t>Silverado-2007</t>
  </si>
  <si>
    <t>868789022706005</t>
  </si>
  <si>
    <t>F450-2017</t>
  </si>
  <si>
    <t>868789022706302</t>
  </si>
  <si>
    <t>F350-2005</t>
  </si>
  <si>
    <t>868789022709603</t>
  </si>
  <si>
    <t>Camion 3</t>
  </si>
  <si>
    <t>868789023096281</t>
  </si>
  <si>
    <t>MX HT043 787-ZPH</t>
  </si>
  <si>
    <t>868789023133431</t>
  </si>
  <si>
    <t>Camion 4</t>
  </si>
  <si>
    <t>868789023139313</t>
  </si>
  <si>
    <t>L200- Edgar Ortiz</t>
  </si>
  <si>
    <t>868789023141020</t>
  </si>
  <si>
    <t>1 Isuzu GG 41 054 A</t>
  </si>
  <si>
    <t>868789026072743</t>
  </si>
  <si>
    <t>Grupo</t>
  </si>
  <si>
    <t>Equipos</t>
  </si>
  <si>
    <t>Grupos</t>
  </si>
  <si>
    <t>unidad Portatil 1</t>
  </si>
  <si>
    <t>004336</t>
  </si>
  <si>
    <t xml:space="preserve">ISASA </t>
  </si>
  <si>
    <t>Suntech ST940</t>
  </si>
  <si>
    <t>SOLUCIONES INTGRALES DE TRANSPORTE DIL SA DE CV</t>
  </si>
  <si>
    <t>DIL0001</t>
  </si>
  <si>
    <t>ADRIAN JESUS MUNOZ</t>
  </si>
  <si>
    <t>JV07103</t>
  </si>
  <si>
    <t>JV73453</t>
  </si>
  <si>
    <t>Plataforma</t>
  </si>
  <si>
    <t>Klifnet</t>
  </si>
  <si>
    <t>(55) Ram FB-86329</t>
  </si>
  <si>
    <t>Skypatrol TT8750</t>
  </si>
  <si>
    <t>011722002277552</t>
  </si>
  <si>
    <t>06 NISSAN GM 51 233</t>
  </si>
  <si>
    <t>Cellocator CR200</t>
  </si>
  <si>
    <t>1095691</t>
  </si>
  <si>
    <t>Chevrolet Migliore</t>
  </si>
  <si>
    <t>Suntech ST215 I/E</t>
  </si>
  <si>
    <t>844592</t>
  </si>
  <si>
    <t>Dina 1994</t>
  </si>
  <si>
    <t>1091217</t>
  </si>
  <si>
    <t>Equipo 093</t>
  </si>
  <si>
    <t>Suntech ST4300</t>
  </si>
  <si>
    <t>0470000093</t>
  </si>
  <si>
    <t>Equipo 094</t>
  </si>
  <si>
    <t>0470000094</t>
  </si>
  <si>
    <t>Equipos 196</t>
  </si>
  <si>
    <t>0470000196</t>
  </si>
  <si>
    <t>Freightliner 949-AT3</t>
  </si>
  <si>
    <t>LMU-700 Series</t>
  </si>
  <si>
    <t>1631173990</t>
  </si>
  <si>
    <t>GDL 17 Kodiak</t>
  </si>
  <si>
    <t>0470000199</t>
  </si>
  <si>
    <t>HILUX FB86319 ROGELIO ROMERO</t>
  </si>
  <si>
    <t>0470000197</t>
  </si>
  <si>
    <t>Isaac</t>
  </si>
  <si>
    <t>KlifnetDemo</t>
  </si>
  <si>
    <t>WiaTag</t>
  </si>
  <si>
    <t>12121200</t>
  </si>
  <si>
    <t>KENWORTH</t>
  </si>
  <si>
    <t>ServicioAvila</t>
  </si>
  <si>
    <t>1631173963</t>
  </si>
  <si>
    <t>L200 Miguel Vazaquez</t>
  </si>
  <si>
    <t>0470000195</t>
  </si>
  <si>
    <t>M-11</t>
  </si>
  <si>
    <t>1631174727</t>
  </si>
  <si>
    <t>NISSAN</t>
  </si>
  <si>
    <t>0470000092</t>
  </si>
  <si>
    <t>Pitic 02</t>
  </si>
  <si>
    <t>Pitic</t>
  </si>
  <si>
    <t>0470000091</t>
  </si>
  <si>
    <t>Pitic 05</t>
  </si>
  <si>
    <t>0470000200</t>
  </si>
  <si>
    <t>portatil ST</t>
  </si>
  <si>
    <t>G_Laherradura</t>
  </si>
  <si>
    <t>485765</t>
  </si>
  <si>
    <t>Emprenet</t>
  </si>
  <si>
    <t>Wialon</t>
  </si>
  <si>
    <t>Num</t>
  </si>
  <si>
    <t>356614028632204</t>
  </si>
  <si>
    <t>Telcel</t>
  </si>
  <si>
    <t>010052530</t>
  </si>
  <si>
    <t>Nissan M1</t>
  </si>
  <si>
    <t>010057207</t>
  </si>
  <si>
    <t>010057798</t>
  </si>
  <si>
    <t>010068819</t>
  </si>
  <si>
    <t>010070280</t>
  </si>
  <si>
    <t>0470000198</t>
  </si>
  <si>
    <t>Mustang</t>
  </si>
  <si>
    <t>8952020518651522634</t>
  </si>
  <si>
    <t>0520000094</t>
  </si>
  <si>
    <t>Kenworth  403-AM4</t>
  </si>
  <si>
    <t>8952020518651522626</t>
  </si>
  <si>
    <t>0520000095</t>
  </si>
  <si>
    <t>Kenworth 331-AP2</t>
  </si>
  <si>
    <t>1631174403</t>
  </si>
  <si>
    <t>M-15</t>
  </si>
  <si>
    <t>1631174754</t>
  </si>
  <si>
    <t>1632263054</t>
  </si>
  <si>
    <t>1632263057</t>
  </si>
  <si>
    <t>M-06</t>
  </si>
  <si>
    <t>1632263060</t>
  </si>
  <si>
    <t>M-12</t>
  </si>
  <si>
    <t>1632263069</t>
  </si>
  <si>
    <t>M-03</t>
  </si>
  <si>
    <t>1632263082</t>
  </si>
  <si>
    <t>M-14</t>
  </si>
  <si>
    <t>Camioneta CDMX</t>
  </si>
  <si>
    <t>862193026464602</t>
  </si>
  <si>
    <t>SO-F71</t>
  </si>
  <si>
    <t>862193026618025</t>
  </si>
  <si>
    <t>862193026643270</t>
  </si>
  <si>
    <t>Tiida PRemio</t>
  </si>
  <si>
    <t>862193026643346</t>
  </si>
  <si>
    <t>M-02</t>
  </si>
  <si>
    <t>864802030412567</t>
  </si>
  <si>
    <t>0520000260</t>
  </si>
  <si>
    <t>868446031790690</t>
  </si>
  <si>
    <t>(49) Ram 350 FB-86332</t>
  </si>
  <si>
    <t>0520000262</t>
  </si>
  <si>
    <t>0520000261</t>
  </si>
  <si>
    <t>TransportesPerez</t>
  </si>
  <si>
    <t>Klifnet_mgr</t>
  </si>
  <si>
    <t>8988303000000851281</t>
  </si>
  <si>
    <t>8988303000000851282</t>
  </si>
  <si>
    <t>8988303000000851285</t>
  </si>
  <si>
    <t>8988303000000851284</t>
  </si>
  <si>
    <t>8988303000000851280</t>
  </si>
  <si>
    <t>0470000248</t>
  </si>
  <si>
    <t>8988303000000851287</t>
  </si>
  <si>
    <t>0470000249</t>
  </si>
  <si>
    <t>8988303000000851286</t>
  </si>
  <si>
    <t>0520000611</t>
  </si>
  <si>
    <t>8988303000000851368</t>
  </si>
  <si>
    <t>0520000613</t>
  </si>
  <si>
    <t>8988303000000851369</t>
  </si>
  <si>
    <t>0520000619</t>
  </si>
  <si>
    <t>8988303000000851370</t>
  </si>
  <si>
    <t>0520000622</t>
  </si>
  <si>
    <t>8988303000000851371</t>
  </si>
  <si>
    <t>8988303000000851238</t>
  </si>
  <si>
    <t>8988303000000851289</t>
  </si>
  <si>
    <t>8988303000000851373</t>
  </si>
  <si>
    <t>8988303000000851375</t>
  </si>
  <si>
    <t>8988303000000851376</t>
  </si>
  <si>
    <t>8988303000000851377</t>
  </si>
  <si>
    <t>0520002358</t>
  </si>
  <si>
    <t>'868446039121831</t>
  </si>
  <si>
    <t>Grupo Aconcagua</t>
  </si>
  <si>
    <t>Austin Powder</t>
  </si>
  <si>
    <t>ST600R</t>
  </si>
  <si>
    <t>Concox AT4</t>
  </si>
  <si>
    <t>353549090886200</t>
  </si>
  <si>
    <t>353549090886291</t>
  </si>
  <si>
    <t>353549090887489</t>
  </si>
  <si>
    <t>Suntech ST600-UP</t>
  </si>
  <si>
    <t>0520002365</t>
  </si>
  <si>
    <t>868446039016130</t>
  </si>
  <si>
    <t>0520002366</t>
  </si>
  <si>
    <t>868446038993438</t>
  </si>
  <si>
    <t>864802030436889</t>
  </si>
  <si>
    <t>864802030440006</t>
  </si>
  <si>
    <t>864802030404473</t>
  </si>
  <si>
    <t>868034000286468</t>
  </si>
  <si>
    <t>CELULAR</t>
  </si>
  <si>
    <t>0470000333</t>
  </si>
  <si>
    <t>866425037384502</t>
  </si>
  <si>
    <t>0470000341</t>
  </si>
  <si>
    <t>866425037368349</t>
  </si>
  <si>
    <t>8988303000000851237</t>
  </si>
  <si>
    <t>8988303000000851236</t>
  </si>
  <si>
    <t>8988303000000851226</t>
  </si>
  <si>
    <t>0520003308</t>
  </si>
  <si>
    <t>862785047530293</t>
  </si>
  <si>
    <t>Topflytech T8608D</t>
  </si>
  <si>
    <t>8988303000000851229</t>
  </si>
  <si>
    <t>8988303000000851230</t>
  </si>
  <si>
    <t>8988303000000851231</t>
  </si>
  <si>
    <t>8988303000000851232</t>
  </si>
  <si>
    <t>8988303000000851233</t>
  </si>
  <si>
    <t>Suntech IMovit</t>
  </si>
  <si>
    <t>IMovit</t>
  </si>
  <si>
    <t>Corporativo</t>
  </si>
  <si>
    <t>Disponible</t>
  </si>
  <si>
    <t>WeMobile</t>
  </si>
  <si>
    <t>( ) CHIH L-200 FU0543A Ricardo Medina</t>
  </si>
  <si>
    <t>0520003807</t>
  </si>
  <si>
    <t>0520003804</t>
  </si>
  <si>
    <t>862785047562510</t>
  </si>
  <si>
    <t>862785047561266</t>
  </si>
  <si>
    <t>wialon</t>
  </si>
  <si>
    <t>0520003803</t>
  </si>
  <si>
    <t>0520003806</t>
  </si>
  <si>
    <t>0520003805</t>
  </si>
  <si>
    <t>862785047676197</t>
  </si>
  <si>
    <t>862785047576783</t>
  </si>
  <si>
    <t>862785047544361</t>
  </si>
  <si>
    <t>863003042114819</t>
  </si>
  <si>
    <t>863003042125336</t>
  </si>
  <si>
    <t>867688036627275</t>
  </si>
  <si>
    <t>867688033153531</t>
  </si>
  <si>
    <t>867688036640583</t>
  </si>
  <si>
    <t>863003042119503</t>
  </si>
  <si>
    <t>863003042077420</t>
  </si>
  <si>
    <t>863003042123430</t>
  </si>
  <si>
    <t>867688036616989</t>
  </si>
  <si>
    <t>867688036639387</t>
  </si>
  <si>
    <t>863003042043653</t>
  </si>
  <si>
    <t>867688033163472</t>
  </si>
  <si>
    <t>867688036625501</t>
  </si>
  <si>
    <t>867688036641292</t>
  </si>
  <si>
    <t>Cancelar</t>
  </si>
  <si>
    <t>867688036747636</t>
  </si>
  <si>
    <t>A-10 INTERNACIONAL</t>
  </si>
  <si>
    <t>A-14 International JR-95-591</t>
  </si>
  <si>
    <t>A-17 HYUNDAI JW44682</t>
  </si>
  <si>
    <t>A-19 HYUNDAI JW44680</t>
  </si>
  <si>
    <t>A-21 Hyundai JW-44-681</t>
  </si>
  <si>
    <t>A-22 International</t>
  </si>
  <si>
    <t>A-23 Hyundai JW-44-766</t>
  </si>
  <si>
    <t>A-25 Hyundai JW-44-683</t>
  </si>
  <si>
    <t>A-27 Izusu JU-87-908</t>
  </si>
  <si>
    <t>A-30 Kenworth</t>
  </si>
  <si>
    <t>A-32 Ford</t>
  </si>
  <si>
    <t>A-33 Sterling</t>
  </si>
  <si>
    <t>A-34 Mercedes Benz JS-40-621</t>
  </si>
  <si>
    <t>Serie GPS</t>
  </si>
  <si>
    <t>Unidad</t>
  </si>
  <si>
    <t>8934075200004640007</t>
  </si>
  <si>
    <t>863003042119388</t>
  </si>
  <si>
    <t>8934075200004640023</t>
  </si>
  <si>
    <t>8934075200004640031</t>
  </si>
  <si>
    <t>863003042130930</t>
  </si>
  <si>
    <t>867688033155452</t>
  </si>
  <si>
    <t>C2-Grua Inter 2004 (2) EFRAIN</t>
  </si>
  <si>
    <t>Camioneta Mochis 02 Edgar</t>
  </si>
  <si>
    <t>8934075200004639421</t>
  </si>
  <si>
    <t>868899048943886</t>
  </si>
  <si>
    <t>8934075200004639413</t>
  </si>
  <si>
    <t>3535490908862078</t>
  </si>
  <si>
    <t>353549090886290f</t>
  </si>
  <si>
    <t>353549090887480f</t>
  </si>
  <si>
    <t>8934075200004639439</t>
  </si>
  <si>
    <t>Versa Azul</t>
  </si>
  <si>
    <t>Versa gris</t>
  </si>
  <si>
    <t>8934075200004639447</t>
  </si>
  <si>
    <t>8934075200004639454</t>
  </si>
  <si>
    <t>8934075200004639462</t>
  </si>
  <si>
    <t>8934075200004639470</t>
  </si>
  <si>
    <t>8934075200004639488</t>
  </si>
  <si>
    <t>868899048947689</t>
  </si>
  <si>
    <t>868899049005313</t>
  </si>
  <si>
    <t>International 05-AC1-N</t>
  </si>
  <si>
    <t>868899048991463</t>
  </si>
  <si>
    <t>CiriloOrtega</t>
  </si>
  <si>
    <t>868899048991067</t>
  </si>
  <si>
    <t>8934075200004639504</t>
  </si>
  <si>
    <t>8934075200004639496</t>
  </si>
  <si>
    <t>8934075200004700876</t>
  </si>
  <si>
    <t>868899048991315</t>
  </si>
  <si>
    <t>869530041391406</t>
  </si>
  <si>
    <t>8952020920150232311</t>
  </si>
  <si>
    <t>8952020920150232329</t>
  </si>
  <si>
    <t>Felipe Gomez Celular</t>
  </si>
  <si>
    <t>Jeep Rojo</t>
  </si>
  <si>
    <t>8952020520150121587</t>
  </si>
  <si>
    <t>LogisticaMars</t>
  </si>
  <si>
    <t>868899048979344</t>
  </si>
  <si>
    <t>8952020519253443294</t>
  </si>
  <si>
    <t>8988303000004956584</t>
  </si>
  <si>
    <t>8988303000004956585</t>
  </si>
  <si>
    <t>8988303000004956586</t>
  </si>
  <si>
    <t>8988303000004956587</t>
  </si>
  <si>
    <t>8988303000004956588</t>
  </si>
  <si>
    <t>8988303000004956589</t>
  </si>
  <si>
    <t>8988303000004956590</t>
  </si>
  <si>
    <t>8988303000004956591</t>
  </si>
  <si>
    <t>8988303000004956592</t>
  </si>
  <si>
    <t>8988303000004956593</t>
  </si>
  <si>
    <t>0680001746</t>
  </si>
  <si>
    <t>0680001744</t>
  </si>
  <si>
    <t>CorpAricar</t>
  </si>
  <si>
    <t>0680001743</t>
  </si>
  <si>
    <t>0680001745</t>
  </si>
  <si>
    <t>Portatil GL300logist</t>
  </si>
  <si>
    <t>860599001856459</t>
  </si>
  <si>
    <t>Queclink GL300</t>
  </si>
  <si>
    <t>TelcelPrep</t>
  </si>
  <si>
    <t>0680002559</t>
  </si>
  <si>
    <t>865284040650396</t>
  </si>
  <si>
    <t>0680002560</t>
  </si>
  <si>
    <t>865284040656922</t>
  </si>
  <si>
    <t>8934075200004640148</t>
  </si>
  <si>
    <t>8934075200004640155</t>
  </si>
  <si>
    <t>8934075200004640163</t>
  </si>
  <si>
    <t>8934075200004640171</t>
  </si>
  <si>
    <t>8934075200004700884</t>
  </si>
  <si>
    <t>8934071200000906919</t>
  </si>
  <si>
    <t>8934075200004640106</t>
  </si>
  <si>
    <t>8934075200004640114</t>
  </si>
  <si>
    <t>8934075200004640122</t>
  </si>
  <si>
    <t>8934075200004640130</t>
  </si>
  <si>
    <t>pend</t>
  </si>
  <si>
    <t>869530041909918</t>
  </si>
  <si>
    <t>869530041360799</t>
  </si>
  <si>
    <t>Ford GDL</t>
  </si>
  <si>
    <t>(72) Mzt HILUX FB86319 Rogelio Romero</t>
  </si>
  <si>
    <t>Camry plata</t>
  </si>
  <si>
    <t>869530041996717</t>
  </si>
  <si>
    <t>869530041986098</t>
  </si>
  <si>
    <t>869530041996865</t>
  </si>
  <si>
    <t>DAVID</t>
  </si>
  <si>
    <t>JONATHAN</t>
  </si>
  <si>
    <t>MANUEL</t>
  </si>
  <si>
    <t>( ) GDL L200 JW58457 - Francisco Mejia</t>
  </si>
  <si>
    <t>( ) GDL L200 JW58604 - Edgar Olivares</t>
  </si>
  <si>
    <t>Spark Tornimaster</t>
  </si>
  <si>
    <t>GDL-Tiida Gris</t>
  </si>
  <si>
    <t>GDL 18 Nissan</t>
  </si>
  <si>
    <t>5 Isuzu GG-9075-B</t>
  </si>
  <si>
    <t>07 RAM GF-2387-B</t>
  </si>
  <si>
    <t>Mazda3</t>
  </si>
  <si>
    <t>866425037295286</t>
  </si>
  <si>
    <t>Nissan 2</t>
  </si>
  <si>
    <t>RAM 4000 Edgar</t>
  </si>
  <si>
    <t>Nissan Tomas</t>
  </si>
  <si>
    <t>0470000343</t>
  </si>
  <si>
    <t>869530041997228</t>
  </si>
  <si>
    <t>869530045147630</t>
  </si>
  <si>
    <t>869530041979234</t>
  </si>
  <si>
    <t>869530045130008</t>
  </si>
  <si>
    <t>C1-Grua TORTON (1) MALCO</t>
  </si>
  <si>
    <t>C3-Grua  Intern 2012 (3) JESUS</t>
  </si>
  <si>
    <t>C4-Grua -Mercedes  (4) NAVA</t>
  </si>
  <si>
    <t>C-NP300 (7) Mensajeria ALDAIR</t>
  </si>
  <si>
    <t>C-NP300 (9) 2020 (9) SALVADOR</t>
  </si>
  <si>
    <t>M-NP300 2018 (8) MERIDA</t>
  </si>
  <si>
    <t>T-Grua TXT- (21)</t>
  </si>
  <si>
    <t>T-Grua-Kodiak JACOB (24)</t>
  </si>
  <si>
    <t>X-Grua (31) CHRISTIAN</t>
  </si>
  <si>
    <t>X-NP300 (32) OSCAR</t>
  </si>
  <si>
    <t>C-NP300 (6) 2015 (6) BENJAMIN</t>
  </si>
  <si>
    <t>8934076200002526421</t>
  </si>
  <si>
    <t>8934076200002526439</t>
  </si>
  <si>
    <t>8934076200002526447</t>
  </si>
  <si>
    <t>8934076200002526850</t>
  </si>
  <si>
    <t>8934076200002526991</t>
  </si>
  <si>
    <t>8934076200002527007</t>
  </si>
  <si>
    <t>8934076200002527486</t>
  </si>
  <si>
    <t>8934076200002528880</t>
  </si>
  <si>
    <t>869530041367307</t>
  </si>
  <si>
    <t>8934076200002521612</t>
  </si>
  <si>
    <t>869530041366721</t>
  </si>
  <si>
    <t>869530041362985</t>
  </si>
  <si>
    <t>869530041415528</t>
  </si>
  <si>
    <t>Versa GDL Nuevo</t>
  </si>
  <si>
    <t>March SRL-251A</t>
  </si>
  <si>
    <t>March SLR-250A</t>
  </si>
  <si>
    <t>8934076200002481320</t>
  </si>
  <si>
    <t>8934076200002482419</t>
  </si>
  <si>
    <t>8934076200002482328</t>
  </si>
  <si>
    <t>8934076200002482708</t>
  </si>
  <si>
    <t>8934076200002482740</t>
  </si>
  <si>
    <t>8934076200002482690</t>
  </si>
  <si>
    <t>8934076200002515259</t>
  </si>
  <si>
    <t>8934071200001278284</t>
  </si>
  <si>
    <t>8934071200001278383</t>
  </si>
  <si>
    <t>8934071200001278367</t>
  </si>
  <si>
    <t>8934071200001278359</t>
  </si>
  <si>
    <t>8934071200001277989</t>
  </si>
  <si>
    <t>8934071200001278391</t>
  </si>
  <si>
    <t>8934071200001278375</t>
  </si>
  <si>
    <t>8934071200001278268</t>
  </si>
  <si>
    <t>8934071200001278276</t>
  </si>
  <si>
    <t>8934071200001278334</t>
  </si>
  <si>
    <t>8934071200001278243</t>
  </si>
  <si>
    <t>8934071200001277997</t>
  </si>
  <si>
    <t>8934071200001278292</t>
  </si>
  <si>
    <t>8934071200001278342</t>
  </si>
  <si>
    <t>8934071200001277971</t>
  </si>
  <si>
    <t>8934071200001278326</t>
  </si>
  <si>
    <t>8934071200001278250</t>
  </si>
  <si>
    <t>8934071200001278300</t>
  </si>
  <si>
    <t>8934071200001278409</t>
  </si>
  <si>
    <t>8934071200001278318</t>
  </si>
  <si>
    <t>345901012035711</t>
  </si>
  <si>
    <t>345901012036512</t>
  </si>
  <si>
    <t>345901012036508</t>
  </si>
  <si>
    <t>345901012036018</t>
  </si>
  <si>
    <t>345901012042505</t>
  </si>
  <si>
    <t>345901012036017</t>
  </si>
  <si>
    <t>345901012039213</t>
  </si>
  <si>
    <t>345901012473523</t>
  </si>
  <si>
    <t>345901012473524</t>
  </si>
  <si>
    <t>345901012473537</t>
  </si>
  <si>
    <t>345901012477405</t>
  </si>
  <si>
    <t>345901012477406</t>
  </si>
  <si>
    <t>345901012472066</t>
  </si>
  <si>
    <t>345901012472064</t>
  </si>
  <si>
    <t>345901012475675</t>
  </si>
  <si>
    <t>345901012473592</t>
  </si>
  <si>
    <t>345901012473631</t>
  </si>
  <si>
    <t>345901012473633</t>
  </si>
  <si>
    <t>345901012477465</t>
  </si>
  <si>
    <t>345901012473933</t>
  </si>
  <si>
    <t>345901012475783</t>
  </si>
  <si>
    <t>345901012477483</t>
  </si>
  <si>
    <t>345901012476139</t>
  </si>
  <si>
    <t>345901012477835</t>
  </si>
  <si>
    <t>345901012474019</t>
  </si>
  <si>
    <t>345901012470995</t>
  </si>
  <si>
    <t>345901012471005</t>
  </si>
  <si>
    <t>Stock</t>
  </si>
  <si>
    <t>8952020220552713491</t>
  </si>
  <si>
    <t>3032746</t>
  </si>
  <si>
    <t>Cellocator CR300</t>
  </si>
  <si>
    <t>869530041387412</t>
  </si>
  <si>
    <t>KingRanch</t>
  </si>
  <si>
    <t>869530041977022</t>
  </si>
  <si>
    <t>3030690</t>
  </si>
  <si>
    <t>Miniban</t>
  </si>
  <si>
    <t>CRV-Plata JKV-9452</t>
  </si>
  <si>
    <t>Versa Yoli</t>
  </si>
  <si>
    <t>MB GLA</t>
  </si>
  <si>
    <t>867553056756984</t>
  </si>
  <si>
    <t>Kenworth W900L 06-AM-9R</t>
  </si>
  <si>
    <t>867553056757586</t>
  </si>
  <si>
    <t>Luis Felipe Gomez Celular</t>
  </si>
  <si>
    <t>Iphone XR</t>
  </si>
  <si>
    <t>Plat Num</t>
  </si>
  <si>
    <t>Pitic Hermosillo</t>
  </si>
  <si>
    <t>8952020920556884954</t>
  </si>
  <si>
    <t>353701092031091</t>
  </si>
  <si>
    <t>Kenworth Negro</t>
  </si>
  <si>
    <t>Concox GT06N</t>
  </si>
  <si>
    <t>867553053336590</t>
  </si>
  <si>
    <t>867553056682925</t>
  </si>
  <si>
    <t>867553056682917</t>
  </si>
  <si>
    <t>867553056790678</t>
  </si>
  <si>
    <t>867553056709272</t>
  </si>
  <si>
    <t>8952020320550709390</t>
  </si>
  <si>
    <t>8952020320550709408</t>
  </si>
  <si>
    <t>ConcoxGT06E</t>
  </si>
  <si>
    <t>0680012392</t>
  </si>
  <si>
    <t>868923058918172</t>
  </si>
  <si>
    <t>0680012394</t>
  </si>
  <si>
    <t>868923058918297</t>
  </si>
  <si>
    <t>0680012391</t>
  </si>
  <si>
    <t>868923058883095</t>
  </si>
  <si>
    <t>8988303000005733716</t>
  </si>
  <si>
    <t>8988303000005733715</t>
  </si>
  <si>
    <t>8988303000005733714</t>
  </si>
  <si>
    <t>0680012390</t>
  </si>
  <si>
    <t>868923058823521</t>
  </si>
  <si>
    <t>0680012388</t>
  </si>
  <si>
    <t>868923058819321</t>
  </si>
  <si>
    <t>0680012389</t>
  </si>
  <si>
    <t>868923058819354</t>
  </si>
  <si>
    <t>Clasico</t>
  </si>
  <si>
    <t>351608083503131</t>
  </si>
  <si>
    <t>Xtrail</t>
  </si>
  <si>
    <t>352503090125888</t>
  </si>
  <si>
    <t>Concox WeTrack lite (GV25)</t>
  </si>
  <si>
    <t>NISSAN 2021</t>
  </si>
  <si>
    <t>867553053320354</t>
  </si>
  <si>
    <t>Ruptela FM Eco4 light T series</t>
  </si>
  <si>
    <t>0680012395</t>
  </si>
  <si>
    <t>868923058901756</t>
  </si>
  <si>
    <t>8988303000005983703</t>
  </si>
  <si>
    <t>8988303000005983704</t>
  </si>
  <si>
    <t>8988303000005983705</t>
  </si>
  <si>
    <t>8988303000005983706</t>
  </si>
  <si>
    <t>8988303000005983707</t>
  </si>
  <si>
    <t>8988303000005983708</t>
  </si>
  <si>
    <t>8988303000005983709</t>
  </si>
  <si>
    <t>8988303000005983710</t>
  </si>
  <si>
    <t>8988303000005983711</t>
  </si>
  <si>
    <t>8988303000005983712</t>
  </si>
  <si>
    <t>8988303000005983713</t>
  </si>
  <si>
    <t>8988303000005983714</t>
  </si>
  <si>
    <t>8988303000005983715</t>
  </si>
  <si>
    <t>8988303000005983716</t>
  </si>
  <si>
    <t>8988303000005983717</t>
  </si>
  <si>
    <t>8988303000005983718</t>
  </si>
  <si>
    <t>8988303000005983719</t>
  </si>
  <si>
    <t>8988303000005983720</t>
  </si>
  <si>
    <t>8988303000005983721</t>
  </si>
  <si>
    <t>8988303000005983722</t>
  </si>
  <si>
    <t>8988303000005983723</t>
  </si>
  <si>
    <t>8988303000005983724</t>
  </si>
  <si>
    <t>8988303000005983725</t>
  </si>
  <si>
    <t>8988303000005983726</t>
  </si>
  <si>
    <t>8988303000005983727</t>
  </si>
  <si>
    <t>Zemnify</t>
  </si>
  <si>
    <t>IMI Durango</t>
  </si>
  <si>
    <t>(71) TRC Hilux FB-84754 Jonathan</t>
  </si>
  <si>
    <t>baja</t>
  </si>
  <si>
    <t>0680012393</t>
  </si>
  <si>
    <t xml:space="preserve">8689230588344204
</t>
  </si>
  <si>
    <t>0-2677333</t>
  </si>
  <si>
    <t>GlobalSat</t>
  </si>
  <si>
    <t>( ) GDL NP300 2021 JX03401 Jorge Garcia</t>
  </si>
  <si>
    <t>(27) GDL Dodge RAM 2013 - Ediberto Patricio</t>
  </si>
  <si>
    <t>(23) GDL KW 2013 Torton - J. de Jesús Larios</t>
  </si>
  <si>
    <t>0680014188</t>
  </si>
  <si>
    <t>868199054615001</t>
  </si>
  <si>
    <t>0680014187</t>
  </si>
  <si>
    <t>868199054602454</t>
  </si>
  <si>
    <t>0680014186</t>
  </si>
  <si>
    <t>868199054602173</t>
  </si>
  <si>
    <t>0680014185</t>
  </si>
  <si>
    <t>868199054615563</t>
  </si>
  <si>
    <t>0680014184</t>
  </si>
  <si>
    <t>868199054615811</t>
  </si>
  <si>
    <t>0680014183</t>
  </si>
  <si>
    <t>868199054602751</t>
  </si>
  <si>
    <t>0680014136</t>
  </si>
  <si>
    <t>868199054680641</t>
  </si>
  <si>
    <t>0680014145</t>
  </si>
  <si>
    <t>868199054680997</t>
  </si>
  <si>
    <t>0680014147</t>
  </si>
  <si>
    <t>868199054694147</t>
  </si>
  <si>
    <t>completo</t>
  </si>
  <si>
    <t>Emnify</t>
  </si>
  <si>
    <t>globalStar</t>
  </si>
  <si>
    <t>TrixImportaciones</t>
  </si>
  <si>
    <t>0680014283</t>
  </si>
  <si>
    <t>0680014284</t>
  </si>
  <si>
    <t>0680014285</t>
  </si>
  <si>
    <t>0680014287</t>
  </si>
  <si>
    <t>0680014286</t>
  </si>
  <si>
    <t>868199054680559</t>
  </si>
  <si>
    <t>868199054680948</t>
  </si>
  <si>
    <t>868199054665667</t>
  </si>
  <si>
    <t>868199054619276</t>
  </si>
  <si>
    <t>868199054665725</t>
  </si>
  <si>
    <t>8934072100260760361</t>
  </si>
  <si>
    <t>345901000193266</t>
  </si>
  <si>
    <t>8934072100260950665</t>
  </si>
  <si>
    <t>345901005018036</t>
  </si>
  <si>
    <t>8934072100260950657</t>
  </si>
  <si>
    <t>345901000216195</t>
  </si>
  <si>
    <t>8934072100260950681</t>
  </si>
  <si>
    <t>345901005051131</t>
  </si>
  <si>
    <t>867553059789560</t>
  </si>
  <si>
    <t>867553059779827</t>
  </si>
  <si>
    <t>Crafter</t>
  </si>
  <si>
    <t>Ford grua</t>
  </si>
  <si>
    <t>(17) GDL International FT28926 David Dominguez NVO</t>
  </si>
  <si>
    <t>Sportage</t>
  </si>
  <si>
    <t>Peugeot AM-5237-A</t>
  </si>
  <si>
    <t>Ford AM-2896-A</t>
  </si>
  <si>
    <t>Ford  AM-5120-A</t>
  </si>
  <si>
    <t>869530043222252</t>
  </si>
  <si>
    <t>869530043201264</t>
  </si>
  <si>
    <t>0680015480</t>
  </si>
  <si>
    <t>868199054610101</t>
  </si>
  <si>
    <t>0680015477</t>
  </si>
  <si>
    <t>868199054682910</t>
  </si>
  <si>
    <t>0680015478</t>
  </si>
  <si>
    <t>868199054683298</t>
  </si>
  <si>
    <t>0680015479</t>
  </si>
  <si>
    <t>868199054610077</t>
  </si>
  <si>
    <t>Ducato PW-6066A</t>
  </si>
  <si>
    <t>0680015866</t>
  </si>
  <si>
    <t>868199054724449</t>
  </si>
  <si>
    <t>0680015867</t>
  </si>
  <si>
    <t>868199054609731</t>
  </si>
  <si>
    <t>0680015868</t>
  </si>
  <si>
    <t>868199054607859</t>
  </si>
  <si>
    <t>0680015869</t>
  </si>
  <si>
    <t>868199054586178</t>
  </si>
  <si>
    <t>0680015875</t>
  </si>
  <si>
    <t>868199054609798</t>
  </si>
  <si>
    <t>0680015870</t>
  </si>
  <si>
    <t>868199054622783</t>
  </si>
  <si>
    <t>0680015871</t>
  </si>
  <si>
    <t>868199054606091</t>
  </si>
  <si>
    <t>0680015872</t>
  </si>
  <si>
    <t>868199054651642</t>
  </si>
  <si>
    <t>0680015873</t>
  </si>
  <si>
    <t>868199054609335</t>
  </si>
  <si>
    <t>0680015874</t>
  </si>
  <si>
    <t>868199054608261</t>
  </si>
  <si>
    <t>TransfDelta</t>
  </si>
  <si>
    <t>STI</t>
  </si>
  <si>
    <t>8952020220651435699</t>
  </si>
  <si>
    <t>8952020220651435665</t>
  </si>
  <si>
    <t>0680015878</t>
  </si>
  <si>
    <t>868199054584801</t>
  </si>
  <si>
    <t>0680015880</t>
  </si>
  <si>
    <t>868199054609715</t>
  </si>
  <si>
    <t>0680015876</t>
  </si>
  <si>
    <t>868199054651766</t>
  </si>
  <si>
    <t>0680015884</t>
  </si>
  <si>
    <t>868199054606994</t>
  </si>
  <si>
    <t>0680015877</t>
  </si>
  <si>
    <t>868199054710489</t>
  </si>
  <si>
    <t>0680015883</t>
  </si>
  <si>
    <t>868199054586376</t>
  </si>
  <si>
    <t>0680015879</t>
  </si>
  <si>
    <t>868199054607842</t>
  </si>
  <si>
    <t>0680015865</t>
  </si>
  <si>
    <t>868199054651501</t>
  </si>
  <si>
    <t>0680015881</t>
  </si>
  <si>
    <t>868199054609095</t>
  </si>
  <si>
    <t>0680015862</t>
  </si>
  <si>
    <t>868199054584306</t>
  </si>
  <si>
    <t>0680015861</t>
  </si>
  <si>
    <t>868199054608451</t>
  </si>
  <si>
    <t>0680015860</t>
  </si>
  <si>
    <t>868199054609674</t>
  </si>
  <si>
    <t>0680015882</t>
  </si>
  <si>
    <t>868199054605747</t>
  </si>
  <si>
    <t>0680015864</t>
  </si>
  <si>
    <t>868199054622627</t>
  </si>
  <si>
    <t>0680015863</t>
  </si>
  <si>
    <t>868199054616470</t>
  </si>
  <si>
    <t>8988303000005986878</t>
  </si>
  <si>
    <t>8988303000005986879</t>
  </si>
  <si>
    <t>8988303000005986880</t>
  </si>
  <si>
    <t>8988303000005986881</t>
  </si>
  <si>
    <t>8988303000005986883</t>
  </si>
  <si>
    <t>8988303000005986885</t>
  </si>
  <si>
    <t>8988303000005986886</t>
  </si>
  <si>
    <t>8988303000005986887</t>
  </si>
  <si>
    <t>8988303000005986889</t>
  </si>
  <si>
    <t>8988303000005986890</t>
  </si>
  <si>
    <t>8988303000005986891</t>
  </si>
  <si>
    <t>8988303000005986892</t>
  </si>
  <si>
    <t>8988303000005986893</t>
  </si>
  <si>
    <t>8988303000005986894</t>
  </si>
  <si>
    <t>8988303000005986895</t>
  </si>
  <si>
    <t>8988303000005986896</t>
  </si>
  <si>
    <t>8988303000005986897</t>
  </si>
  <si>
    <t>8988303000005986898</t>
  </si>
  <si>
    <t>8988303000005986899</t>
  </si>
  <si>
    <t>8988303000005986900</t>
  </si>
  <si>
    <t>8988303000005986902</t>
  </si>
  <si>
    <t>0680015948</t>
  </si>
  <si>
    <t>868199054627402</t>
  </si>
  <si>
    <t>0680015944</t>
  </si>
  <si>
    <t>868199054627345</t>
  </si>
  <si>
    <t>0680015946</t>
  </si>
  <si>
    <t>868199054587358</t>
  </si>
  <si>
    <t>0680015945</t>
  </si>
  <si>
    <t>868199054608071</t>
  </si>
  <si>
    <t>0680015940</t>
  </si>
  <si>
    <t>868199054607917</t>
  </si>
  <si>
    <t>0680015947</t>
  </si>
  <si>
    <t>868199054612099</t>
  </si>
  <si>
    <t>0680015949</t>
  </si>
  <si>
    <t>868199054710752</t>
  </si>
  <si>
    <t>0680015941</t>
  </si>
  <si>
    <t>868199054509269</t>
  </si>
  <si>
    <t>0680015942</t>
  </si>
  <si>
    <t>868199054612339</t>
  </si>
  <si>
    <t>0680015943</t>
  </si>
  <si>
    <t>868199054608287</t>
  </si>
  <si>
    <t>Proveedor</t>
  </si>
  <si>
    <t>Costo</t>
  </si>
  <si>
    <t>Costo Unitario</t>
  </si>
  <si>
    <t>Cantidad</t>
  </si>
  <si>
    <t>Fecha</t>
  </si>
  <si>
    <t>Imovit</t>
  </si>
  <si>
    <t>8988303000006249308</t>
  </si>
  <si>
    <t>8988303000006249309</t>
  </si>
  <si>
    <t>8988303000006249310</t>
  </si>
  <si>
    <t>8988303000006249314</t>
  </si>
  <si>
    <t>8988303000006249315</t>
  </si>
  <si>
    <t>8988303000006249316</t>
  </si>
  <si>
    <t>8988303000006249317</t>
  </si>
  <si>
    <t>8988303000006249318</t>
  </si>
  <si>
    <t>8988303000006249323</t>
  </si>
  <si>
    <t>8988303000006249324</t>
  </si>
  <si>
    <t>8988303000006249326</t>
  </si>
  <si>
    <t>8988303000006249327</t>
  </si>
  <si>
    <t>8988303000006249330</t>
  </si>
  <si>
    <t>8988303000006249331</t>
  </si>
  <si>
    <t>8988303000006249332</t>
  </si>
  <si>
    <t>0680017073</t>
  </si>
  <si>
    <t>868199054621611</t>
  </si>
  <si>
    <t>0680017074</t>
  </si>
  <si>
    <t>868199054585741</t>
  </si>
  <si>
    <t>0680017075</t>
  </si>
  <si>
    <t>868199054584983</t>
  </si>
  <si>
    <t>0680017077</t>
  </si>
  <si>
    <t>868199054621646</t>
  </si>
  <si>
    <t>0680017078</t>
  </si>
  <si>
    <t>868199054622155</t>
  </si>
  <si>
    <t>0680017076</t>
  </si>
  <si>
    <t>868199054602884</t>
  </si>
  <si>
    <t>0680017079</t>
  </si>
  <si>
    <t>0680017080</t>
  </si>
  <si>
    <t>868199054674198</t>
  </si>
  <si>
    <t>Bernardo</t>
  </si>
  <si>
    <t>Suntech ST3940</t>
  </si>
  <si>
    <t>JavierVazquez</t>
  </si>
  <si>
    <t>356614028126025</t>
  </si>
  <si>
    <t>356614028649299</t>
  </si>
  <si>
    <t>867553059779769</t>
  </si>
  <si>
    <t>Mesagrama</t>
  </si>
  <si>
    <t>LMarquez</t>
  </si>
  <si>
    <t>EdificacionBR</t>
  </si>
  <si>
    <t>356430072885204</t>
  </si>
  <si>
    <t>356430073541467</t>
  </si>
  <si>
    <t>F-350</t>
  </si>
  <si>
    <t>356430073911512</t>
  </si>
  <si>
    <t>( ) GDL Ford 2019 F-550 JW16700 J. Luis Bernardino</t>
  </si>
  <si>
    <t>356430073918038</t>
  </si>
  <si>
    <t>( ) GDL Ford F-350 JW17183 David D</t>
  </si>
  <si>
    <t>356430073918160</t>
  </si>
  <si>
    <t>( ) GDL Ford F350 JW17184 David D</t>
  </si>
  <si>
    <t>356430073918178</t>
  </si>
  <si>
    <t>CAMIONETA VW ROBUST</t>
  </si>
  <si>
    <t>356430074420307</t>
  </si>
  <si>
    <t>AUPANohme</t>
  </si>
  <si>
    <t>352580084411904</t>
  </si>
  <si>
    <t>352580084412043</t>
  </si>
  <si>
    <t>352580085080039</t>
  </si>
  <si>
    <t>352580085952237</t>
  </si>
  <si>
    <t>352580085985948</t>
  </si>
  <si>
    <t>MTY CG-04</t>
  </si>
  <si>
    <t>MTY CG-13</t>
  </si>
  <si>
    <t>( ) GDL Jeep Patriot-ALVARO MINAKATA</t>
  </si>
  <si>
    <t>( ) GDL NP300 EXPLOSIVOS - David D.</t>
  </si>
  <si>
    <t>( ) GDL Hilux GRIS SWF - CHOFERES</t>
  </si>
  <si>
    <t>( ) GDL L200 FM9859A - Raul Diaz</t>
  </si>
  <si>
    <t>T-NP300 TXT CARLOS</t>
  </si>
  <si>
    <t>AgricolaCharay</t>
  </si>
  <si>
    <t>(62) Dgo Colorado FB-86317 Emerson</t>
  </si>
  <si>
    <t>CE (09) Mack EY-2187-A</t>
  </si>
  <si>
    <t>(89) Zac L200 FM 9823-A Blenda D. Molina</t>
  </si>
  <si>
    <t>866425036865287</t>
  </si>
  <si>
    <t>866425037300680</t>
  </si>
  <si>
    <t>MTY CG-17 Kodiak</t>
  </si>
  <si>
    <t>(90)Dgo L200 ER 0367-A Hazael</t>
  </si>
  <si>
    <t>866425037698141</t>
  </si>
  <si>
    <t>(63) Dgo  Jetta FNM-7528 Benjamin Sotero</t>
  </si>
  <si>
    <t>E (52) Dgo International FB-86326 Jose Herrera</t>
  </si>
  <si>
    <t>( ) CHIH L-200 FM9807A Roberto Isaac Navarro</t>
  </si>
  <si>
    <t>( ) CHIH L-200 FM9805A Enrique Martinez</t>
  </si>
  <si>
    <t>( ) TRC Ranger FM-9849a Salvador Muñoz</t>
  </si>
  <si>
    <t>(00)DGO FORD F150 JN 47054  Carlos Martinez</t>
  </si>
  <si>
    <t>(00)Zac L200 EU1296A Ulises Morales</t>
  </si>
  <si>
    <t>C3- Grua Chev PATIO CTH</t>
  </si>
  <si>
    <t>Suntech ST4310</t>
  </si>
  <si>
    <t>( ) GDL Hilux JS14283 Ángel Rodriguez</t>
  </si>
  <si>
    <t>TORTON INTL</t>
  </si>
  <si>
    <t>Ram PV-1179-A</t>
  </si>
  <si>
    <t>(01) DGO Caja  9-CZ-4840</t>
  </si>
  <si>
    <t>EC (02) Caja IMI 9-cz-5184</t>
  </si>
  <si>
    <t>E (56) Dgo Ram FB-86328</t>
  </si>
  <si>
    <t>( ) DGO Hilux FV-9368-A</t>
  </si>
  <si>
    <t>T ( ) Dgo. Hyundai YDF593-A Jonathan</t>
  </si>
  <si>
    <t>GDL 19 Freighliner .</t>
  </si>
  <si>
    <t>(49) DGO Ram 49 FB-86332</t>
  </si>
  <si>
    <t>Delta Nissan JV-22-427</t>
  </si>
  <si>
    <t>VERSA GERMAN</t>
  </si>
  <si>
    <t>() Hilux FM-9841-A</t>
  </si>
  <si>
    <t>( ) Jeep FZT-512-A</t>
  </si>
  <si>
    <t>Versa Miguel Armas</t>
  </si>
  <si>
    <t>March MAURICIO</t>
  </si>
  <si>
    <t>Versa SALVADOR</t>
  </si>
  <si>
    <t>Nissan Nva</t>
  </si>
  <si>
    <t>X-Versa Plata YRD-785-A NICOLAS</t>
  </si>
  <si>
    <t>C-Versa Plata Miguel</t>
  </si>
  <si>
    <t>20 Freightliner  4237Serie</t>
  </si>
  <si>
    <t>21 Freigthliner 4238Serie</t>
  </si>
  <si>
    <t>1631174721</t>
  </si>
  <si>
    <t>M-01 .</t>
  </si>
  <si>
    <t>4631345013</t>
  </si>
  <si>
    <t>LMU-2700 Series</t>
  </si>
  <si>
    <t>Portatil 011</t>
  </si>
  <si>
    <t>Portatil 021</t>
  </si>
  <si>
    <t>Portatil 031</t>
  </si>
  <si>
    <t>( ) GDL Frontier NP300 JV02582 - Olaf Olivos</t>
  </si>
  <si>
    <t>SENTRA</t>
  </si>
  <si>
    <t>( ) GDL L200 FB86302 - Noe Suazo</t>
  </si>
  <si>
    <t>MTY 06 Nissan</t>
  </si>
  <si>
    <t>(65) Dgo Ranger FB-86318 Tte Arambula</t>
  </si>
  <si>
    <t>( ) GDL Frontier NP300 FT8767A - Israel Glz</t>
  </si>
  <si>
    <t>( ) GDL L200 FB86306 - Eduardo Juarez</t>
  </si>
  <si>
    <t>( ) GDL AVEO FJR 7869  MONICA HERNANDEZ</t>
  </si>
  <si>
    <t>( ) TRC Ram Daniel Rivera</t>
  </si>
  <si>
    <t>( ) TRC Hyundai Eduardo Salazar</t>
  </si>
  <si>
    <t>Grua 02 .</t>
  </si>
  <si>
    <t>E (57) Zac  Kenworth FB-86327 José  Alfonso)</t>
  </si>
  <si>
    <t>(78) Dgo Hilux FB-86336 Victor Reyes</t>
  </si>
  <si>
    <t>(87) Dgo Ranger FB-86344 Daniel Razo</t>
  </si>
  <si>
    <t>(53) Dgo Ram Gris FB-86338 Abraham Hdz</t>
  </si>
  <si>
    <t>Camioneta Mochis 01 Paul</t>
  </si>
  <si>
    <t>Camioneta Culiacán</t>
  </si>
  <si>
    <t>GRUA 03</t>
  </si>
  <si>
    <t>E (64 ) MZT International  FB-86330</t>
  </si>
  <si>
    <t>E (59 ) DGO Kenworth FB-86-331</t>
  </si>
  <si>
    <t>E (55) RAM 2500 FB.86-329 Alberto Sanchez</t>
  </si>
  <si>
    <t>E (73) MZT Kenworth FB-86334</t>
  </si>
  <si>
    <t>E (68) DGO International FB-86-333</t>
  </si>
  <si>
    <t>( ) Frontier FN-3047-B</t>
  </si>
  <si>
    <t>( ) L200 EZ-9385-A</t>
  </si>
  <si>
    <t>2 Isuzu GF-2384-B</t>
  </si>
  <si>
    <t>4 Isuzu  GF-0759-C</t>
  </si>
  <si>
    <t>3 Isuzu GF-2385-B</t>
  </si>
  <si>
    <t>CYNERI</t>
  </si>
  <si>
    <t>E (80) Dgo Kenworth FB-86339 Jesús Buen Rostro</t>
  </si>
  <si>
    <t>F-450-17</t>
  </si>
  <si>
    <t>( ) GDL L200- Edgar Ortiz</t>
  </si>
  <si>
    <t>Nissan Bca</t>
  </si>
  <si>
    <t>( ) L200 EY4038A Gerardo Mendoza</t>
  </si>
  <si>
    <t>( ) TRC Ram4000 EW3483A Dinamita</t>
  </si>
  <si>
    <t>( ) TOR Ford F550</t>
  </si>
  <si>
    <t>E ( ) Hilux Serie 421478 IMI</t>
  </si>
  <si>
    <t>( ) CHIH San Julian Sat</t>
  </si>
  <si>
    <t>Globalstar SmartOne</t>
  </si>
  <si>
    <t xml:space="preserve">( ) TOR Rav4 FXC-515-B </t>
  </si>
  <si>
    <t>( ) TOR F150 FM-9802-A</t>
  </si>
  <si>
    <t>( ) TOR RAM Dgo FM-9846A</t>
  </si>
  <si>
    <t>( ) TOR Patriot FZT-511-A</t>
  </si>
  <si>
    <t>0520049492</t>
  </si>
  <si>
    <t>860640054045408</t>
  </si>
  <si>
    <t>0520049594</t>
  </si>
  <si>
    <t>860640054216116</t>
  </si>
  <si>
    <t>0520049597</t>
  </si>
  <si>
    <t>860640054215993</t>
  </si>
  <si>
    <t>0520049596</t>
  </si>
  <si>
    <t>860640054202389</t>
  </si>
  <si>
    <t>0520049595</t>
  </si>
  <si>
    <t>860640054228954</t>
  </si>
  <si>
    <t>0520049598</t>
  </si>
  <si>
    <t>860640054202462</t>
  </si>
  <si>
    <t>0520049491</t>
  </si>
  <si>
    <t>860640054114774</t>
  </si>
  <si>
    <t>0520049489</t>
  </si>
  <si>
    <t>860640053954618</t>
  </si>
  <si>
    <t>0520049493</t>
  </si>
  <si>
    <t>860640054229028</t>
  </si>
  <si>
    <t>0520049490</t>
  </si>
  <si>
    <t>860640054222163</t>
  </si>
  <si>
    <t>(21) DGO Urban FXD-224B</t>
  </si>
  <si>
    <t>( ) DGO KW FB-86-335</t>
  </si>
  <si>
    <t>( ) TOR Hilux FM-9804-A</t>
  </si>
  <si>
    <t>(82) DGO KW FB-86343</t>
  </si>
  <si>
    <t>( ) TOR ElantraFZN-793-B</t>
  </si>
  <si>
    <t>( )TOR L200 FM-9844-A</t>
  </si>
  <si>
    <t>( ) TOR Jetta SP Vin 5U7800375AE</t>
  </si>
  <si>
    <t>( ) TOR CX5 GDS-592B</t>
  </si>
  <si>
    <t>( ) TOR Ram FB-86321</t>
  </si>
  <si>
    <t>( ) TOR NP300 FW-9672-A</t>
  </si>
  <si>
    <t>8988303000006249334</t>
  </si>
  <si>
    <t>8988303000006249333</t>
  </si>
  <si>
    <t>8988303000006249335</t>
  </si>
  <si>
    <t>8988303000006249336</t>
  </si>
  <si>
    <t>0680018101</t>
  </si>
  <si>
    <t>864919054433509</t>
  </si>
  <si>
    <t>0680018098</t>
  </si>
  <si>
    <t>864919054362211</t>
  </si>
  <si>
    <t>0680018106</t>
  </si>
  <si>
    <t>864919054398819</t>
  </si>
  <si>
    <t>8988303000006249337</t>
  </si>
  <si>
    <t>8988303000006249338</t>
  </si>
  <si>
    <t>8988303000006249339</t>
  </si>
  <si>
    <t>8988303000006249340</t>
  </si>
  <si>
    <t>8988303000006249341</t>
  </si>
  <si>
    <t>8988303000006249342</t>
  </si>
  <si>
    <t>8988303000006249343</t>
  </si>
  <si>
    <t>8988303000006249344</t>
  </si>
  <si>
    <t>8988303000006249345</t>
  </si>
  <si>
    <t>8988303000006249346</t>
  </si>
  <si>
    <t>8988303000006249347</t>
  </si>
  <si>
    <t>8988303000006249348</t>
  </si>
  <si>
    <t>8988303000006249349</t>
  </si>
  <si>
    <t>8988303000006249350</t>
  </si>
  <si>
    <t>8988303000006249351</t>
  </si>
  <si>
    <t>8988303000006249352</t>
  </si>
  <si>
    <t>8988303000006249353</t>
  </si>
  <si>
    <t>8988303000006249354</t>
  </si>
  <si>
    <t>8988303000006249355</t>
  </si>
  <si>
    <t>8988303000006249356</t>
  </si>
  <si>
    <t>8988303000006249357</t>
  </si>
  <si>
    <t>0680018097</t>
  </si>
  <si>
    <t>864919054407180</t>
  </si>
  <si>
    <t>( ) DGO L200 EU-1297-A</t>
  </si>
  <si>
    <t>Suntech ST4340LC</t>
  </si>
  <si>
    <t>( ) DGO RAM FB-84-753</t>
  </si>
  <si>
    <t>0680018103</t>
  </si>
  <si>
    <t>864919054412784</t>
  </si>
  <si>
    <t>( ) TOR Spark GAT-660B</t>
  </si>
  <si>
    <t>( ) TOR L200 FL-4258B</t>
  </si>
  <si>
    <t>GDL 22 Chevrolet</t>
  </si>
  <si>
    <t>(83) DGO Kenworth FB-86-342</t>
  </si>
  <si>
    <t>( ) DGO L200 FM-7113-B</t>
  </si>
  <si>
    <t>( ) DGO L200 RCW-878-A</t>
  </si>
  <si>
    <t>TIASA</t>
  </si>
  <si>
    <t>0680018102</t>
  </si>
  <si>
    <t>864919054403908</t>
  </si>
  <si>
    <t>0680018100</t>
  </si>
  <si>
    <t>864919054402702</t>
  </si>
  <si>
    <t>0680018105</t>
  </si>
  <si>
    <t>864919054399775</t>
  </si>
  <si>
    <t>0680018104</t>
  </si>
  <si>
    <t>864919054442534</t>
  </si>
  <si>
    <t>0680018099</t>
  </si>
  <si>
    <t>864919054434085</t>
  </si>
  <si>
    <t>0680018321</t>
  </si>
  <si>
    <t>868199058514382</t>
  </si>
  <si>
    <t>0680018322</t>
  </si>
  <si>
    <t>868199057512866</t>
  </si>
  <si>
    <t>0680018323</t>
  </si>
  <si>
    <t>868199058038481</t>
  </si>
  <si>
    <t>0680018324</t>
  </si>
  <si>
    <t>864919054439415</t>
  </si>
  <si>
    <t>0680018325</t>
  </si>
  <si>
    <t>868199057499064</t>
  </si>
  <si>
    <t>0680018326</t>
  </si>
  <si>
    <t>868199058089062</t>
  </si>
  <si>
    <t>0680018327</t>
  </si>
  <si>
    <t>864919054442195</t>
  </si>
  <si>
    <t>0680018478</t>
  </si>
  <si>
    <t>864919054392960</t>
  </si>
  <si>
    <t>Range Rover</t>
  </si>
  <si>
    <t>Viano</t>
  </si>
  <si>
    <t>Security1</t>
  </si>
  <si>
    <t>Security2</t>
  </si>
  <si>
    <t>March M ALVAREZ</t>
  </si>
  <si>
    <t>March RICARDO</t>
  </si>
  <si>
    <t>Kormex</t>
  </si>
  <si>
    <t>IMI 19574</t>
  </si>
  <si>
    <t>0680019574</t>
  </si>
  <si>
    <t>868199058502817</t>
  </si>
  <si>
    <t>IMI 19573</t>
  </si>
  <si>
    <t>0680019573</t>
  </si>
  <si>
    <t>868199058562266</t>
  </si>
  <si>
    <t>8952020920652090662</t>
  </si>
  <si>
    <t>0099005D82</t>
  </si>
  <si>
    <t>0099004B34</t>
  </si>
  <si>
    <t>Streamax X3-H0402</t>
  </si>
  <si>
    <t>868899043808118</t>
  </si>
  <si>
    <t>(01) GDL Remolque - 9CZ4836 - Oscar Garcia</t>
  </si>
  <si>
    <t>(25) GDL Ford 2011 F 550 FB85702 - Armando Aceves</t>
  </si>
  <si>
    <t>868899043828173</t>
  </si>
  <si>
    <t>(11) GDL Hilux 2014 FB 85707 - Jorge Garcia</t>
  </si>
  <si>
    <t>868899043948781</t>
  </si>
  <si>
    <t>8934076400005103836</t>
  </si>
  <si>
    <t>8934076400005103869</t>
  </si>
  <si>
    <t>8934076400005103760</t>
  </si>
  <si>
    <t>864919055312538</t>
  </si>
  <si>
    <t>0680021387</t>
  </si>
  <si>
    <t>E ( ) Hilux EY-4471-A</t>
  </si>
  <si>
    <t>8934071100292767112</t>
  </si>
  <si>
    <t>345901000878859</t>
  </si>
  <si>
    <t>8934071100292767138</t>
  </si>
  <si>
    <t>345901000886579</t>
  </si>
  <si>
    <t>8934071100292767146</t>
  </si>
  <si>
    <t>345901000865728</t>
  </si>
  <si>
    <t>8934071100292767278</t>
  </si>
  <si>
    <t>345901000869321</t>
  </si>
  <si>
    <t>8934071100292767294</t>
  </si>
  <si>
    <t>345901000876216</t>
  </si>
  <si>
    <t>8934071100292767443</t>
  </si>
  <si>
    <t>345901000863698</t>
  </si>
  <si>
    <t>8934071100292797325</t>
  </si>
  <si>
    <t>345901000883891</t>
  </si>
  <si>
    <t>8934072100260760312</t>
  </si>
  <si>
    <t>345901000297968</t>
  </si>
  <si>
    <t>8934072100260760577</t>
  </si>
  <si>
    <t>345901000350069</t>
  </si>
  <si>
    <t>8934072100260760395</t>
  </si>
  <si>
    <t>345901005016752</t>
  </si>
  <si>
    <t>8934072100260760528</t>
  </si>
  <si>
    <t>345901005017684</t>
  </si>
  <si>
    <t>8934072100260760429</t>
  </si>
  <si>
    <t>345901000287740</t>
  </si>
  <si>
    <t>8934072100260760437</t>
  </si>
  <si>
    <t>345901000193811</t>
  </si>
  <si>
    <t>8934072100260760403</t>
  </si>
  <si>
    <t>345901000679862</t>
  </si>
  <si>
    <t>8934072100260760338</t>
  </si>
  <si>
    <t>345901005017951</t>
  </si>
  <si>
    <t>8934072100260760320</t>
  </si>
  <si>
    <t>345901000243486</t>
  </si>
  <si>
    <t>8934072100260760478</t>
  </si>
  <si>
    <t>345901005012764</t>
  </si>
  <si>
    <t>8934072100260760221</t>
  </si>
  <si>
    <t>345901000199387</t>
  </si>
  <si>
    <t>8934072100260760247</t>
  </si>
  <si>
    <t>345901000207797</t>
  </si>
  <si>
    <t>8934072100260760346</t>
  </si>
  <si>
    <t>345901000193199</t>
  </si>
  <si>
    <t>8934072100260760197</t>
  </si>
  <si>
    <t>345901005013578</t>
  </si>
  <si>
    <t>8934072100260760387</t>
  </si>
  <si>
    <t>345901005049007</t>
  </si>
  <si>
    <t>8934072100260760205</t>
  </si>
  <si>
    <t>345901000198463</t>
  </si>
  <si>
    <t>8934072100260760304</t>
  </si>
  <si>
    <t>345901000245790</t>
  </si>
  <si>
    <t>8934072100260760502</t>
  </si>
  <si>
    <t>345901005027993</t>
  </si>
  <si>
    <t>8934072100260943132</t>
  </si>
  <si>
    <t>345901005056865</t>
  </si>
  <si>
    <t>8934072100260943249</t>
  </si>
  <si>
    <t>345901000194643</t>
  </si>
  <si>
    <t>8934072100260946606</t>
  </si>
  <si>
    <t>345901000673289</t>
  </si>
  <si>
    <t>8934072100260943413</t>
  </si>
  <si>
    <t>345901005013028</t>
  </si>
  <si>
    <t>8934072100260943405</t>
  </si>
  <si>
    <t>345901000289752</t>
  </si>
  <si>
    <t>8934072100260943439</t>
  </si>
  <si>
    <t>345901005019616</t>
  </si>
  <si>
    <t>8934072100260943272</t>
  </si>
  <si>
    <t>345901005050489</t>
  </si>
  <si>
    <t>8934072100260950673</t>
  </si>
  <si>
    <t>345901000292985</t>
  </si>
  <si>
    <t>8934072100260950558</t>
  </si>
  <si>
    <t>345901005017293</t>
  </si>
  <si>
    <t>8934072100260950616</t>
  </si>
  <si>
    <t>345901000209973</t>
  </si>
  <si>
    <t>8934072100260950566</t>
  </si>
  <si>
    <t>345901000193239</t>
  </si>
  <si>
    <t>8934072100260950996</t>
  </si>
  <si>
    <t>345901000288558</t>
  </si>
  <si>
    <t>8934072100260950541</t>
  </si>
  <si>
    <t>345901000208037</t>
  </si>
  <si>
    <t>8934072100260950814</t>
  </si>
  <si>
    <t>345901005016760</t>
  </si>
  <si>
    <t>8934072100260950715</t>
  </si>
  <si>
    <t>345901000242974</t>
  </si>
  <si>
    <t>8934072100260950723</t>
  </si>
  <si>
    <t>345901005049974</t>
  </si>
  <si>
    <t>8934072100260950756</t>
  </si>
  <si>
    <t>345901005049609</t>
  </si>
  <si>
    <t>8934072100260950988</t>
  </si>
  <si>
    <t>345901005018212</t>
  </si>
  <si>
    <t>8934072100260950731</t>
  </si>
  <si>
    <t>345901005049590</t>
  </si>
  <si>
    <t>8934072100260950749</t>
  </si>
  <si>
    <t>345901005071403</t>
  </si>
  <si>
    <t>8934072100260950962</t>
  </si>
  <si>
    <t>345901005015623</t>
  </si>
  <si>
    <t>8934072400005802076</t>
  </si>
  <si>
    <t>345901007640127</t>
  </si>
  <si>
    <t>8934072400005801888</t>
  </si>
  <si>
    <t>345901007636071</t>
  </si>
  <si>
    <t>8934072400005801599</t>
  </si>
  <si>
    <t>345901007656608</t>
  </si>
  <si>
    <t>8934072400005801904</t>
  </si>
  <si>
    <t>345901007627849</t>
  </si>
  <si>
    <t>8934072400005801870</t>
  </si>
  <si>
    <t>345901007685628</t>
  </si>
  <si>
    <t>8934076400005103752</t>
  </si>
  <si>
    <t>345901009097873</t>
  </si>
  <si>
    <t>8934072400005802050</t>
  </si>
  <si>
    <t>345901007643918</t>
  </si>
  <si>
    <t>8934072400005802043</t>
  </si>
  <si>
    <t>345901007641530</t>
  </si>
  <si>
    <t>8934072400005802027</t>
  </si>
  <si>
    <t>345901007616148</t>
  </si>
  <si>
    <t>8934072400005802068</t>
  </si>
  <si>
    <t>345901007656736</t>
  </si>
  <si>
    <t>8934072400005802035</t>
  </si>
  <si>
    <t>345901007663437</t>
  </si>
  <si>
    <t>8934076400005103851</t>
  </si>
  <si>
    <t>345901009153071</t>
  </si>
  <si>
    <t>345901009134928</t>
  </si>
  <si>
    <t>345901009149279</t>
  </si>
  <si>
    <t>345901009126702</t>
  </si>
  <si>
    <t>8934076400005103844</t>
  </si>
  <si>
    <t>345901009122561</t>
  </si>
  <si>
    <t>8934071400005523954</t>
  </si>
  <si>
    <t>345901009400642</t>
  </si>
  <si>
    <t>8934075200001756244</t>
  </si>
  <si>
    <t>345901005903400</t>
  </si>
  <si>
    <t>8934075200001755840</t>
  </si>
  <si>
    <t>345901005875288</t>
  </si>
  <si>
    <t>8934075200001755824</t>
  </si>
  <si>
    <t>345901005888228</t>
  </si>
  <si>
    <t>8934075200001755659</t>
  </si>
  <si>
    <t>345901005874740</t>
  </si>
  <si>
    <t>8934075200001756186</t>
  </si>
  <si>
    <t>345901005893932</t>
  </si>
  <si>
    <t>8934075200001755691</t>
  </si>
  <si>
    <t>345901005914891</t>
  </si>
  <si>
    <t>8934075200001755857</t>
  </si>
  <si>
    <t>345901005915212</t>
  </si>
  <si>
    <t>8934075200001755758</t>
  </si>
  <si>
    <t>345901005875160</t>
  </si>
  <si>
    <t>8934075200001755816</t>
  </si>
  <si>
    <t>345901005841040</t>
  </si>
  <si>
    <t>8934075200001755733</t>
  </si>
  <si>
    <t>345901005879082</t>
  </si>
  <si>
    <t>8934075200001755774</t>
  </si>
  <si>
    <t>345901005909734</t>
  </si>
  <si>
    <t>8934075200001755808</t>
  </si>
  <si>
    <t>345901005882098</t>
  </si>
  <si>
    <t>8934076200000587003</t>
  </si>
  <si>
    <t>345901007916235</t>
  </si>
  <si>
    <t>8934076200000587011</t>
  </si>
  <si>
    <t>345901007887420</t>
  </si>
  <si>
    <t>8934076200000588274</t>
  </si>
  <si>
    <t>345901007885597</t>
  </si>
  <si>
    <t>8934076200000587052</t>
  </si>
  <si>
    <t>345901007841498</t>
  </si>
  <si>
    <t>8934076200000587060</t>
  </si>
  <si>
    <t>345901007887289</t>
  </si>
  <si>
    <t>8934076200000586765</t>
  </si>
  <si>
    <t>345901007840852</t>
  </si>
  <si>
    <t>8934076200000586716</t>
  </si>
  <si>
    <t>345901007872003</t>
  </si>
  <si>
    <t>8934076200000586740</t>
  </si>
  <si>
    <t>345901007880369</t>
  </si>
  <si>
    <t>8934076200000586724</t>
  </si>
  <si>
    <t>345901007868778</t>
  </si>
  <si>
    <t>8934076200000586682</t>
  </si>
  <si>
    <t>345901007843345</t>
  </si>
  <si>
    <t>8934076200000586732</t>
  </si>
  <si>
    <t>345901007889997</t>
  </si>
  <si>
    <t>8934076200000596152</t>
  </si>
  <si>
    <t>345901007842931</t>
  </si>
  <si>
    <t>8934076200000596186</t>
  </si>
  <si>
    <t>345901007865266</t>
  </si>
  <si>
    <t>8934076200000596798</t>
  </si>
  <si>
    <t>345901007890637</t>
  </si>
  <si>
    <t>8934076200000596160</t>
  </si>
  <si>
    <t>345901007880174</t>
  </si>
  <si>
    <t>8934076200000596095</t>
  </si>
  <si>
    <t>345901007871880</t>
  </si>
  <si>
    <t>8934076200000595378</t>
  </si>
  <si>
    <t>345901007871001</t>
  </si>
  <si>
    <t>8934076200000596137</t>
  </si>
  <si>
    <t>345901007870121</t>
  </si>
  <si>
    <t>8934076200000595311</t>
  </si>
  <si>
    <t>345901007865078</t>
  </si>
  <si>
    <t>8934076200000596145</t>
  </si>
  <si>
    <t>345901007842266</t>
  </si>
  <si>
    <t>8934076200000596806</t>
  </si>
  <si>
    <t>345901007840218</t>
  </si>
  <si>
    <t>8934076200000596772</t>
  </si>
  <si>
    <t>345901007901926</t>
  </si>
  <si>
    <t>8934076400005103885</t>
  </si>
  <si>
    <t>345901009152138</t>
  </si>
  <si>
    <t>8934071400005523962</t>
  </si>
  <si>
    <t>345901009377660</t>
  </si>
  <si>
    <t>8934076200000602976</t>
  </si>
  <si>
    <t>345901007849287</t>
  </si>
  <si>
    <t>8934076200000602984</t>
  </si>
  <si>
    <t>345901007873411</t>
  </si>
  <si>
    <t>8934076200000609211</t>
  </si>
  <si>
    <t>345901007843975</t>
  </si>
  <si>
    <t>8934076200000609245</t>
  </si>
  <si>
    <t>345901007849031</t>
  </si>
  <si>
    <t>8934076200000609252</t>
  </si>
  <si>
    <t>345901007898726</t>
  </si>
  <si>
    <t>8934076200000605292</t>
  </si>
  <si>
    <t>345901007874563</t>
  </si>
  <si>
    <t>8934076200000605300</t>
  </si>
  <si>
    <t>345901007875096</t>
  </si>
  <si>
    <t>8934077200000974978</t>
  </si>
  <si>
    <t>345901005505171</t>
  </si>
  <si>
    <t>8934077200000974085</t>
  </si>
  <si>
    <t>345901005041330</t>
  </si>
  <si>
    <t>8934077200000975025</t>
  </si>
  <si>
    <t>345901005509536</t>
  </si>
  <si>
    <t>8934077200000974986</t>
  </si>
  <si>
    <t>345901005511598</t>
  </si>
  <si>
    <t>8934077200000973996</t>
  </si>
  <si>
    <t>345901005524447</t>
  </si>
  <si>
    <t>8934077200000975132</t>
  </si>
  <si>
    <t>345901005476829</t>
  </si>
  <si>
    <t>8934077200000974044</t>
  </si>
  <si>
    <t>345901005495252</t>
  </si>
  <si>
    <t>8934077200000974994</t>
  </si>
  <si>
    <t>345901005515513</t>
  </si>
  <si>
    <t>8934077200000974945</t>
  </si>
  <si>
    <t>345901005506732</t>
  </si>
  <si>
    <t>8934077200000975009</t>
  </si>
  <si>
    <t>345901005498628</t>
  </si>
  <si>
    <t>8934077200000974903</t>
  </si>
  <si>
    <t>345901005519614</t>
  </si>
  <si>
    <t>8934077200000974127</t>
  </si>
  <si>
    <t>345901005488216</t>
  </si>
  <si>
    <t>8934077200000973962</t>
  </si>
  <si>
    <t>345901005543339</t>
  </si>
  <si>
    <t>345901008538588</t>
  </si>
  <si>
    <t>345901008498342</t>
  </si>
  <si>
    <t>345901008518572</t>
  </si>
  <si>
    <t>345901008515489</t>
  </si>
  <si>
    <t>345901008532717</t>
  </si>
  <si>
    <t>345901008536765</t>
  </si>
  <si>
    <t>345901008501544</t>
  </si>
  <si>
    <t>345901008500481</t>
  </si>
  <si>
    <t>345901008532845</t>
  </si>
  <si>
    <t>345901008486340</t>
  </si>
  <si>
    <t>345901008500610</t>
  </si>
  <si>
    <t>345901008528968</t>
  </si>
  <si>
    <t>345901008502185</t>
  </si>
  <si>
    <t>345901008523129</t>
  </si>
  <si>
    <t>345901008497268</t>
  </si>
  <si>
    <t>345901008479867</t>
  </si>
  <si>
    <t>345901009410842</t>
  </si>
  <si>
    <t>345901008531144</t>
  </si>
  <si>
    <t>345901008531272</t>
  </si>
  <si>
    <t>345901008507139</t>
  </si>
  <si>
    <t>345901008523149</t>
  </si>
  <si>
    <t>345901012003855</t>
  </si>
  <si>
    <t>345901012010271</t>
  </si>
  <si>
    <t>345901012003858</t>
  </si>
  <si>
    <t>345901012003856</t>
  </si>
  <si>
    <t>345901012040225</t>
  </si>
  <si>
    <t>345901012040242</t>
  </si>
  <si>
    <t>345901012006963</t>
  </si>
  <si>
    <t>345901012006954</t>
  </si>
  <si>
    <t>345901012040270</t>
  </si>
  <si>
    <t>358222054520497</t>
  </si>
  <si>
    <t>358222054954803</t>
  </si>
  <si>
    <t>358222054754948</t>
  </si>
  <si>
    <t>868899043824800</t>
  </si>
  <si>
    <t>358222054754971</t>
  </si>
  <si>
    <t>358222054755119</t>
  </si>
  <si>
    <t>358222054754997</t>
  </si>
  <si>
    <t>358222054755069</t>
  </si>
  <si>
    <t>358222054755044</t>
  </si>
  <si>
    <t>358222054951643</t>
  </si>
  <si>
    <t>358222054754955</t>
  </si>
  <si>
    <t>358222054755101</t>
  </si>
  <si>
    <t>358222054754203</t>
  </si>
  <si>
    <t>358222054755051</t>
  </si>
  <si>
    <t>358222054754179</t>
  </si>
  <si>
    <t>358222054754930</t>
  </si>
  <si>
    <t>358222052220983</t>
  </si>
  <si>
    <t>358222054956725</t>
  </si>
  <si>
    <t>358222054957970</t>
  </si>
  <si>
    <t>358222059118842</t>
  </si>
  <si>
    <t>358222054969405</t>
  </si>
  <si>
    <t>358222054969371</t>
  </si>
  <si>
    <t>358222054957988</t>
  </si>
  <si>
    <t>358222059133361</t>
  </si>
  <si>
    <t>358222059128775</t>
  </si>
  <si>
    <t>358222059128783</t>
  </si>
  <si>
    <t>358222059128791</t>
  </si>
  <si>
    <t>358222059138402</t>
  </si>
  <si>
    <t>358222059138410</t>
  </si>
  <si>
    <t>358222059138436</t>
  </si>
  <si>
    <t>358222059138451</t>
  </si>
  <si>
    <t>358222059138428</t>
  </si>
  <si>
    <t>358222054957954</t>
  </si>
  <si>
    <t>868899043961891</t>
  </si>
  <si>
    <t>868899043959382</t>
  </si>
  <si>
    <t>868899043795372</t>
  </si>
  <si>
    <t>356430073534066</t>
  </si>
  <si>
    <t>356430073918012</t>
  </si>
  <si>
    <t>356430073910134</t>
  </si>
  <si>
    <t>356430073910142</t>
  </si>
  <si>
    <t>358222059292472</t>
  </si>
  <si>
    <t>868899043895958</t>
  </si>
  <si>
    <t>868899043962097</t>
  </si>
  <si>
    <t>356430073541475</t>
  </si>
  <si>
    <t>868899048936286</t>
  </si>
  <si>
    <t>868899048942482</t>
  </si>
  <si>
    <t>868899048940619</t>
  </si>
  <si>
    <t>Ruptela PRo4</t>
  </si>
  <si>
    <t>MG5 Demo</t>
  </si>
  <si>
    <t>357544371878543</t>
  </si>
  <si>
    <t>Teltonika FMB920</t>
  </si>
  <si>
    <t>009900576D</t>
  </si>
  <si>
    <t>37257758039</t>
  </si>
  <si>
    <t>8937201016205372626</t>
  </si>
  <si>
    <t>0680021388</t>
  </si>
  <si>
    <t>864919055272237</t>
  </si>
  <si>
    <t>01 Emprenet</t>
  </si>
  <si>
    <t>02 Emnify</t>
  </si>
  <si>
    <t>03 GlobalSat</t>
  </si>
  <si>
    <t>04 Telcel</t>
  </si>
  <si>
    <t>05 WeMobile</t>
  </si>
  <si>
    <t>06 M2MExpress</t>
  </si>
  <si>
    <t>07 TelcelPrep</t>
  </si>
  <si>
    <t>interno</t>
  </si>
  <si>
    <t>8988303000006249358</t>
  </si>
  <si>
    <t>8988303000006249359</t>
  </si>
  <si>
    <t>8988303000006249360</t>
  </si>
  <si>
    <t>8988303000006249361</t>
  </si>
  <si>
    <t>8988303000006249362</t>
  </si>
  <si>
    <t>8988303000006249363</t>
  </si>
  <si>
    <t>0680021389</t>
  </si>
  <si>
    <t>0680021390</t>
  </si>
  <si>
    <t>864919055312611</t>
  </si>
  <si>
    <t>864919055312959</t>
  </si>
  <si>
    <t>864919055257030</t>
  </si>
  <si>
    <t>E (45) ZAC FORD FB 86323 Antonio Ramirez Valdez</t>
  </si>
  <si>
    <t>0680021391</t>
  </si>
  <si>
    <t>Versa Culiacan2</t>
  </si>
  <si>
    <t>Taxi01</t>
  </si>
  <si>
    <t>JoseHUrias</t>
  </si>
  <si>
    <t>010169932</t>
  </si>
  <si>
    <t>010170100</t>
  </si>
  <si>
    <t>GQGLOBAL</t>
  </si>
  <si>
    <t>8988303000006249364</t>
  </si>
  <si>
    <t>8988303000006249365</t>
  </si>
  <si>
    <t>8988303000006249366</t>
  </si>
  <si>
    <t>8988303000006249367</t>
  </si>
  <si>
    <t>8988303000006249368</t>
  </si>
  <si>
    <t>010178850</t>
  </si>
  <si>
    <t>010178193</t>
  </si>
  <si>
    <t>camion 4</t>
  </si>
  <si>
    <t>Taxi02</t>
  </si>
  <si>
    <t>Switf Blanco</t>
  </si>
  <si>
    <t>359857082547522</t>
  </si>
  <si>
    <t>Concox GT06E</t>
  </si>
  <si>
    <t>0680023785</t>
  </si>
  <si>
    <t>864919058646072</t>
  </si>
  <si>
    <t>0680023786</t>
  </si>
  <si>
    <t>864919054645314</t>
  </si>
  <si>
    <t>8988303000006249369</t>
  </si>
  <si>
    <t>8988303000006249370</t>
  </si>
  <si>
    <t>8988303000006249371</t>
  </si>
  <si>
    <t>8988303000006249372</t>
  </si>
  <si>
    <t>0680023787</t>
  </si>
  <si>
    <t>864919058645272</t>
  </si>
  <si>
    <t>0680023788</t>
  </si>
  <si>
    <t>864919058645694</t>
  </si>
  <si>
    <t>ComAutomotriz</t>
  </si>
  <si>
    <t>0680023789</t>
  </si>
  <si>
    <t>864919058658952</t>
  </si>
  <si>
    <t>TransportesMS</t>
  </si>
  <si>
    <t>8988303000006249373</t>
  </si>
  <si>
    <t>8988303000006249374</t>
  </si>
  <si>
    <t>8988303000006249375</t>
  </si>
  <si>
    <t>010179000</t>
  </si>
  <si>
    <t>353380101790003</t>
  </si>
  <si>
    <t>Cascadia 01</t>
  </si>
  <si>
    <t>Cascadia 02</t>
  </si>
  <si>
    <t>TrackSolid</t>
  </si>
  <si>
    <t>P-215</t>
  </si>
  <si>
    <t>AyuntamientoHillo</t>
  </si>
  <si>
    <t>Ford F150 VE-76718</t>
  </si>
  <si>
    <t>02 INT 79-AE-3A</t>
  </si>
  <si>
    <t>8988303000006249376</t>
  </si>
  <si>
    <t>8988303000006249377</t>
  </si>
  <si>
    <t>8988303000006249378</t>
  </si>
  <si>
    <t>8988303000006249379</t>
  </si>
  <si>
    <t>8988303000006249380</t>
  </si>
  <si>
    <t>8988303000006249381</t>
  </si>
  <si>
    <t>8988303000006249382</t>
  </si>
  <si>
    <t>0680024098</t>
  </si>
  <si>
    <t>864919055302679</t>
  </si>
  <si>
    <t>0680024099</t>
  </si>
  <si>
    <t>864919055303396</t>
  </si>
  <si>
    <t>864919055261562</t>
  </si>
  <si>
    <t>0680024100</t>
  </si>
  <si>
    <t>0680024101</t>
  </si>
  <si>
    <t>864919055289918</t>
  </si>
  <si>
    <t>869530043203583</t>
  </si>
  <si>
    <t>Masame</t>
  </si>
  <si>
    <t>867553053372249</t>
  </si>
  <si>
    <t>8988303000006746798</t>
  </si>
  <si>
    <t>8988303000006746799</t>
  </si>
  <si>
    <t>0680024430</t>
  </si>
  <si>
    <t>864919058681871</t>
  </si>
  <si>
    <t>0680024431</t>
  </si>
  <si>
    <t>864919058682580</t>
  </si>
  <si>
    <t>0680024432</t>
  </si>
  <si>
    <t>0680024433</t>
  </si>
  <si>
    <t>0680024434</t>
  </si>
  <si>
    <t>0680024435</t>
  </si>
  <si>
    <t>0680024436</t>
  </si>
  <si>
    <t>0680024437</t>
  </si>
  <si>
    <t>0680024438</t>
  </si>
  <si>
    <t>0680024439</t>
  </si>
  <si>
    <t>864919058660370</t>
  </si>
  <si>
    <t>864919058682663</t>
  </si>
  <si>
    <t>864919058641883</t>
  </si>
  <si>
    <t>864919058715810</t>
  </si>
  <si>
    <t>8988303000006746800</t>
  </si>
  <si>
    <t>8988303000006746801</t>
  </si>
  <si>
    <t>8988303000006746802</t>
  </si>
  <si>
    <t>8988303000006746803</t>
  </si>
  <si>
    <t>8988303000006746804</t>
  </si>
  <si>
    <t>8988303000006746805</t>
  </si>
  <si>
    <t>8988303000006746806</t>
  </si>
  <si>
    <t>8988303000006746807</t>
  </si>
  <si>
    <t>8988303000006746808</t>
  </si>
  <si>
    <t>8988303000006746809</t>
  </si>
  <si>
    <t>8988303000006746810</t>
  </si>
  <si>
    <t>864919058718095</t>
  </si>
  <si>
    <t>864919058662954</t>
  </si>
  <si>
    <t>864919058643699</t>
  </si>
  <si>
    <t>864919055271577</t>
  </si>
  <si>
    <t>A19 Hiace VTU-275-A</t>
  </si>
  <si>
    <t>AGSonorg</t>
  </si>
  <si>
    <t>A15 Tornado VE-08-951</t>
  </si>
  <si>
    <t>A20 Frontier VE-02-327</t>
  </si>
  <si>
    <t>Avanza WDX-647-A</t>
  </si>
  <si>
    <t>Kenworth Blanco</t>
  </si>
  <si>
    <t>TransportesViveros</t>
  </si>
  <si>
    <t>March GYE-956-B</t>
  </si>
  <si>
    <t>8988303000006746811</t>
  </si>
  <si>
    <t>8988303000006746812</t>
  </si>
  <si>
    <t>8988303000006746813</t>
  </si>
  <si>
    <t>8988303000006746814</t>
  </si>
  <si>
    <t>8988303000006746815</t>
  </si>
  <si>
    <t>8988303000006746816</t>
  </si>
  <si>
    <t>8988303000006746817</t>
  </si>
  <si>
    <t>8988303000006746818</t>
  </si>
  <si>
    <t>8988303000006746819</t>
  </si>
  <si>
    <t>8988303000006746820</t>
  </si>
  <si>
    <t>8988303000006746821</t>
  </si>
  <si>
    <t>8988303000006746822</t>
  </si>
  <si>
    <t>860796050448242</t>
  </si>
  <si>
    <t>860796050447707</t>
  </si>
  <si>
    <t>1 Isuzu GG-9055-B</t>
  </si>
  <si>
    <t>M-Grua TORTON (12) MRD</t>
  </si>
  <si>
    <t>March Julio SHA-167-A</t>
  </si>
  <si>
    <t>ExamoFS</t>
  </si>
  <si>
    <t>Isuzu PF-41-279</t>
  </si>
  <si>
    <t>Isuzu PF-41-278</t>
  </si>
  <si>
    <t>Isuzu PF-32-761 Eco 03</t>
  </si>
  <si>
    <t>( ) Pinos IMI L200 EW-3478-A Aldo Ramos Juarez</t>
  </si>
  <si>
    <t>0680024832</t>
  </si>
  <si>
    <t>864919058643798</t>
  </si>
  <si>
    <t>AveoMoreliaNvo</t>
  </si>
  <si>
    <t>0680024833</t>
  </si>
  <si>
    <t>0680024834</t>
  </si>
  <si>
    <t>864919054442054</t>
  </si>
  <si>
    <t>864919058697133</t>
  </si>
  <si>
    <t>0680024835</t>
  </si>
  <si>
    <t>864919058680626</t>
  </si>
  <si>
    <t>0680024836</t>
  </si>
  <si>
    <t>864919054356197</t>
  </si>
  <si>
    <t>Austin 24836</t>
  </si>
  <si>
    <t>0680024837</t>
  </si>
  <si>
    <t>864919054362617</t>
  </si>
  <si>
    <t>0680024838</t>
  </si>
  <si>
    <t>864919058680667</t>
  </si>
  <si>
    <t>0680024839</t>
  </si>
  <si>
    <t>IMI 24839</t>
  </si>
  <si>
    <t>864919054402835</t>
  </si>
  <si>
    <t>Ruptela HCV</t>
  </si>
  <si>
    <t>867553057647448</t>
  </si>
  <si>
    <t>( ) TOR Ford Nva Serie 81731</t>
  </si>
  <si>
    <t>( )DGO L200 FL-3615-B Matias Gutierrez</t>
  </si>
  <si>
    <t>(PTC) L200 FA-3875-A LUIS RODRIGUEZ</t>
  </si>
  <si>
    <t>(PTC) L200 FA-3882-A VANESSA VIDAL</t>
  </si>
  <si>
    <t>(PTC) (88) Hmo Silverado FM9848-A Erika Portillo</t>
  </si>
  <si>
    <t>( ) DGO Hilux EY-9242-A Roberto Sifuentes</t>
  </si>
  <si>
    <t>IMDurango</t>
  </si>
  <si>
    <t>( ) Mzt Hilux EY-9355-A Dante Espinoza</t>
  </si>
  <si>
    <t>( ) BCH Ranger EW2284A Francisco Arambula</t>
  </si>
  <si>
    <t>Spark gvw7914</t>
  </si>
  <si>
    <t>(PTC) L200 FA-3861-A MIGUEL PINELO</t>
  </si>
  <si>
    <t>K Ruta 10 Vallejo</t>
  </si>
  <si>
    <t>K Ruta 06 San Cristobal</t>
  </si>
  <si>
    <t>K Ruta 05 Teotihuacan</t>
  </si>
  <si>
    <t>K Comodin</t>
  </si>
  <si>
    <t>K Ruta 09 Santa Lucia</t>
  </si>
  <si>
    <t>K Ruta 04 Ozumbilla</t>
  </si>
  <si>
    <t>K Ruta 07 Tultepec</t>
  </si>
  <si>
    <t>K Ruta 08 Tecamac</t>
  </si>
  <si>
    <t>K Ruta 02 Coacalco</t>
  </si>
  <si>
    <t>K Ruta 01 Xalostoc</t>
  </si>
  <si>
    <t>K Ruta 03 Heroes</t>
  </si>
  <si>
    <t>TRACTO VOLVO</t>
  </si>
  <si>
    <t>Masame 249</t>
  </si>
  <si>
    <t>Masame 583</t>
  </si>
  <si>
    <t>M-16</t>
  </si>
  <si>
    <t>(PTC) HMO L200 EW-3476-A Cristian Leon</t>
  </si>
  <si>
    <t>C-Vento Sistelec Antonio M</t>
  </si>
  <si>
    <t>(PTC) Hilux FB-86320 Arnoldo Valenzuela</t>
  </si>
  <si>
    <t>(PTC) (92) L200 ER-0183A Sukai Alfaro</t>
  </si>
  <si>
    <t>(PTC) L200 FM-9976-A Ana Flores</t>
  </si>
  <si>
    <t>(PTC) L200 FL-6297A Victor Mendivil</t>
  </si>
  <si>
    <t>(PTC) HMO Hilux FB-84755 Daniel Valenzuela</t>
  </si>
  <si>
    <t>(PTC) HMO Hilux MNA-4622 Luis Zazueta</t>
  </si>
  <si>
    <t>(PTC) L200 FL-2856B Sergio Rios</t>
  </si>
  <si>
    <t>(PTC) HMO L200 Enrique Celaya</t>
  </si>
  <si>
    <t>(PTC) Ram 4000 EY-4495A</t>
  </si>
  <si>
    <t>(PTC) Kenworth  FB-84758 U-84</t>
  </si>
  <si>
    <t>(PTC) Kenworth FB-84757 U-85</t>
  </si>
  <si>
    <t>(PTC) Cerro Prieto International 49-04-M</t>
  </si>
  <si>
    <t>(PTC) L200 EW-3475-A Cesar Romo</t>
  </si>
  <si>
    <t>(PTC) HMO L200 EW-3477-A Fabian Renteria</t>
  </si>
  <si>
    <t>(PTC) L200 EW-3479-A Fabian Verdugo</t>
  </si>
  <si>
    <t>(PTC) HMO L200 EY4036A Daniel M.Gonzalez</t>
  </si>
  <si>
    <t>(PTC) L200 EY4037A Martin Gradillas</t>
  </si>
  <si>
    <t>(PTC) Hilux EY-9207-A 2021</t>
  </si>
  <si>
    <t>(PTC) Hilux EY-4796-A</t>
  </si>
  <si>
    <t>Suntech ST4340</t>
  </si>
  <si>
    <t>( ) GDL Ranger FB85711 - Antonio Rios</t>
  </si>
  <si>
    <t>( ) GDL L200 FB86301 - JULIO GOMEZ</t>
  </si>
  <si>
    <t>( ) GDL Jetta JNM8319 - Antonio Navarro</t>
  </si>
  <si>
    <t>( ) GDL Nissan NP300 JV11491-Victor Gutierrez</t>
  </si>
  <si>
    <t>( ) GDL OAX L200 FU0824 - A  Salvador Ramirez</t>
  </si>
  <si>
    <t>( ) GDL OAX L200 JS83823 - Alberto Ramirez</t>
  </si>
  <si>
    <t>( ) GDL Ford Econoline JJG7611 - Enrique Arjona</t>
  </si>
  <si>
    <t>( ) GDL L200 FM9808-Javier Hernández Juárez</t>
  </si>
  <si>
    <t>( ) GDL - CALICA Frontier JV01703 - Omar Gomez</t>
  </si>
  <si>
    <t>( ) GDL LAZ Hilux FB85710 - Adrian Gonzalez</t>
  </si>
  <si>
    <t>( ) GDL LAZ Hilux FB85709 - Gustavo Ramirez</t>
  </si>
  <si>
    <t>( ) GDL - CALICA Hilux FB 85713 - David Perea</t>
  </si>
  <si>
    <t>( ) GDL LAZ Tsuru JHS7135 - Julio Maldonado</t>
  </si>
  <si>
    <t>( ) GDL L200 FB86308 - MISAEL MONROY NVO</t>
  </si>
  <si>
    <t>( ) GDL  L200 JW16187 - Eduardo Aguilera</t>
  </si>
  <si>
    <t>C11-Grua (11) TORTON ALONSO</t>
  </si>
  <si>
    <t>C13- Ford XX-3177-A RENE</t>
  </si>
  <si>
    <t>Spark JUAN PABLO</t>
  </si>
  <si>
    <t>HERIBERTO</t>
  </si>
  <si>
    <t>0680024856</t>
  </si>
  <si>
    <t>864919058718178</t>
  </si>
  <si>
    <t>0680024857</t>
  </si>
  <si>
    <t>864919058718087</t>
  </si>
  <si>
    <t>0680024858</t>
  </si>
  <si>
    <t>864919058643764</t>
  </si>
  <si>
    <t>0680024859</t>
  </si>
  <si>
    <t>864919058720349</t>
  </si>
  <si>
    <t>8988303000006746898</t>
  </si>
  <si>
    <t>8988303000006746899</t>
  </si>
  <si>
    <t>8988303000006746900</t>
  </si>
  <si>
    <t>8988303000006746901</t>
  </si>
  <si>
    <t>8988303000006746902</t>
  </si>
  <si>
    <t>8988303000006746903</t>
  </si>
  <si>
    <t>8988303000006746904</t>
  </si>
  <si>
    <t>8988303000006746905</t>
  </si>
  <si>
    <t>8988303000006746906</t>
  </si>
  <si>
    <t>8988303000006746907</t>
  </si>
  <si>
    <t>8988303000006746908</t>
  </si>
  <si>
    <t>8988303000006746909</t>
  </si>
  <si>
    <t>8988303000006746910</t>
  </si>
  <si>
    <t>8988303000006746911</t>
  </si>
  <si>
    <t>8988303000006746912</t>
  </si>
  <si>
    <t>8988303000006746913</t>
  </si>
  <si>
    <t>8988303000006746914</t>
  </si>
  <si>
    <t>8988303000006746915</t>
  </si>
  <si>
    <t>8988303000006746916</t>
  </si>
  <si>
    <t>8988303000006746917</t>
  </si>
  <si>
    <t>8988303000006746918</t>
  </si>
  <si>
    <t>8988303000006746919</t>
  </si>
  <si>
    <t>8988303000006746920</t>
  </si>
  <si>
    <t>8988303000006746921</t>
  </si>
  <si>
    <t>8988303000006746922</t>
  </si>
  <si>
    <t>0680024860</t>
  </si>
  <si>
    <t>864919055248815</t>
  </si>
  <si>
    <t>TRANS UNO-1</t>
  </si>
  <si>
    <t>TRANS UNO-2</t>
  </si>
  <si>
    <t>TRANS UNO-4</t>
  </si>
  <si>
    <t>TRANS UNO-5</t>
  </si>
  <si>
    <t>353549091592450</t>
  </si>
  <si>
    <t>353549091557958</t>
  </si>
  <si>
    <t>353549091558295</t>
  </si>
  <si>
    <t>353549091554401</t>
  </si>
  <si>
    <t>Concox AT6</t>
  </si>
  <si>
    <t>TransportesUno</t>
  </si>
  <si>
    <t>0680024861</t>
  </si>
  <si>
    <t>Ducato S/p</t>
  </si>
  <si>
    <t>0680024862</t>
  </si>
  <si>
    <t>JoseLBurlong</t>
  </si>
  <si>
    <t>864919055325050</t>
  </si>
  <si>
    <t>0680024863</t>
  </si>
  <si>
    <t>864919055307033</t>
  </si>
  <si>
    <t>RecicladoraColima</t>
  </si>
  <si>
    <t>International VE98-898</t>
  </si>
  <si>
    <t>International  VE98-758</t>
  </si>
  <si>
    <t>RemolqueDel</t>
  </si>
  <si>
    <t>(PTC) L200 FR-5794- Desy Molina</t>
  </si>
  <si>
    <t>(PTC) L200 ER-5790A</t>
  </si>
  <si>
    <t>A13 Ranger VE-61-322</t>
  </si>
  <si>
    <t>A17 Tornado VE-10-044 Cesar</t>
  </si>
  <si>
    <t>A21 Hilux ve-24923 Ricardo Anaya</t>
  </si>
  <si>
    <t>A25 Hilux VE-72-922 Fitosanidad</t>
  </si>
  <si>
    <t>Hilux Abraham Cazares VE-61-441</t>
  </si>
  <si>
    <t>Hilux CSF</t>
  </si>
  <si>
    <t>Hilux Damian</t>
  </si>
  <si>
    <t>Hilux Jorge Cobos</t>
  </si>
  <si>
    <t>Hilux Juvenal</t>
  </si>
  <si>
    <t>Tornado UJ-92914 Carlos Arlan</t>
  </si>
  <si>
    <t>Versa J JESUS</t>
  </si>
  <si>
    <t>( ) Hiunday Elantra GAT-659-B</t>
  </si>
  <si>
    <t>( ) TRC L200 FL4264-B Gustavo Hinojosa</t>
  </si>
  <si>
    <t>(10)Jeep Patriot FXG-746-B</t>
  </si>
  <si>
    <t>baja sistema</t>
  </si>
  <si>
    <t>866425037306554</t>
  </si>
  <si>
    <t>() Ford F550  FN9351B</t>
  </si>
  <si>
    <t>0680024864</t>
  </si>
  <si>
    <t>867919055325035</t>
  </si>
  <si>
    <t>GRFinancial</t>
  </si>
  <si>
    <t>8934071400005522402</t>
  </si>
  <si>
    <t>345901009395730</t>
  </si>
  <si>
    <t>867688033154042</t>
  </si>
  <si>
    <t>Isuzu Nuevo</t>
  </si>
  <si>
    <t>Ruptela Eco4Ligth</t>
  </si>
  <si>
    <t>Dmeneses</t>
  </si>
  <si>
    <t>0520056247</t>
  </si>
  <si>
    <t>867198053131490</t>
  </si>
  <si>
    <t>0520056251</t>
  </si>
  <si>
    <t>867198053171314</t>
  </si>
  <si>
    <t>0680024865</t>
  </si>
  <si>
    <t>864919055297317</t>
  </si>
  <si>
    <t>0520056248</t>
  </si>
  <si>
    <t>Pymafi</t>
  </si>
  <si>
    <t>0520056249</t>
  </si>
  <si>
    <t>0520056250</t>
  </si>
  <si>
    <t>867198053223537</t>
  </si>
  <si>
    <t>867198053135963</t>
  </si>
  <si>
    <t>867198053172072</t>
  </si>
  <si>
    <t>864351053457935</t>
  </si>
  <si>
    <t>Ruptrla Trace5 NA</t>
  </si>
  <si>
    <t>864351053316537</t>
  </si>
  <si>
    <t>Chevrolet GT-0096B</t>
  </si>
  <si>
    <t>Hino GR-6906C</t>
  </si>
  <si>
    <t>Nissan GT-0094B</t>
  </si>
  <si>
    <t>Nissan GT-0095B</t>
  </si>
  <si>
    <t>PORTATIL 001</t>
  </si>
  <si>
    <t>860796050505603</t>
  </si>
  <si>
    <t>Grua 1 UJ-62-997</t>
  </si>
  <si>
    <t>Grua 2 UG-33-210 Int</t>
  </si>
  <si>
    <t>Porshe Panamera</t>
  </si>
  <si>
    <t>Tracto1</t>
  </si>
  <si>
    <t>Dañado/(91) Dgo L200 ER-0366-A Benjamin Hidalgo S.</t>
  </si>
  <si>
    <t>09 Telcel Bajas</t>
  </si>
  <si>
    <t>'353549091592450</t>
  </si>
  <si>
    <t>8952020021257425641</t>
  </si>
  <si>
    <t>Karina Estrada</t>
  </si>
  <si>
    <t>Iphone 12</t>
  </si>
  <si>
    <t>Jac Nuevo</t>
  </si>
  <si>
    <t>1230001293</t>
  </si>
  <si>
    <t>Suntech ST3300</t>
  </si>
  <si>
    <t>8675530577093000</t>
  </si>
  <si>
    <t>0950003933</t>
  </si>
  <si>
    <t>Sidney_Gdl</t>
  </si>
  <si>
    <t>Austin</t>
  </si>
  <si>
    <t>016121000039335</t>
  </si>
  <si>
    <t>Suntech ST4315</t>
  </si>
  <si>
    <t>0950003934</t>
  </si>
  <si>
    <t>016121000039343</t>
  </si>
  <si>
    <t>0950003935</t>
  </si>
  <si>
    <t>016121000039350</t>
  </si>
  <si>
    <t>0680026592</t>
  </si>
  <si>
    <t>860640059313181</t>
  </si>
  <si>
    <t>Freighliner 360</t>
  </si>
  <si>
    <t>imei2</t>
  </si>
  <si>
    <t>Klifnet Control</t>
  </si>
  <si>
    <t>Total</t>
  </si>
  <si>
    <t>Debra01</t>
  </si>
  <si>
    <t>860796050450024</t>
  </si>
  <si>
    <t>860796050175274</t>
  </si>
  <si>
    <t>AT6-Pipas Gordas</t>
  </si>
  <si>
    <t>AT6-Concentido</t>
  </si>
  <si>
    <t>10 Propios</t>
  </si>
  <si>
    <t>Debra Jabeth Esparza Noriega</t>
  </si>
  <si>
    <t>99999999</t>
  </si>
  <si>
    <t>359857081369373</t>
  </si>
  <si>
    <t>351777090852821</t>
  </si>
  <si>
    <t>351777090851617</t>
  </si>
  <si>
    <t>351777090850783</t>
  </si>
  <si>
    <t>351777090853811</t>
  </si>
  <si>
    <t>353701090888039</t>
  </si>
  <si>
    <t>353701090902723</t>
  </si>
  <si>
    <t>353701090890860</t>
  </si>
  <si>
    <t xml:space="preserve">	20 - NISSAN NP300</t>
  </si>
  <si>
    <t>17 - NISSAN NP 300</t>
  </si>
  <si>
    <t>19 - NISSAN NP300</t>
  </si>
  <si>
    <t>11 - NISSAN NP300</t>
  </si>
  <si>
    <t>18 - NISSAN NP300</t>
  </si>
  <si>
    <t>15 - RAM 4000</t>
  </si>
  <si>
    <t>17 - RAM 4000</t>
  </si>
  <si>
    <t>18 - RAM 4000</t>
  </si>
  <si>
    <t>Elsa Lilia Zuñiga Santoyo</t>
  </si>
  <si>
    <t>Concox R83</t>
  </si>
  <si>
    <t>Elsa2019</t>
  </si>
  <si>
    <t>353701099165017</t>
  </si>
  <si>
    <t>GT06N-65017</t>
  </si>
  <si>
    <t>Fauto Navarro</t>
  </si>
  <si>
    <t>FaustoNav</t>
  </si>
  <si>
    <t>865784051138504</t>
  </si>
  <si>
    <t>WETRACK2-38504</t>
  </si>
  <si>
    <t>Concox Wetrack2</t>
  </si>
  <si>
    <t>Juan Torres</t>
  </si>
  <si>
    <t>Juantorres01</t>
  </si>
  <si>
    <t>353701097326579</t>
  </si>
  <si>
    <t>353701097638965</t>
  </si>
  <si>
    <t>Restroexcabadora</t>
  </si>
  <si>
    <t>Volteo Amarillo</t>
  </si>
  <si>
    <t>Mario Vazquez Gurierrez</t>
  </si>
  <si>
    <t>MarioVG9</t>
  </si>
  <si>
    <t>359857084033174</t>
  </si>
  <si>
    <t>358899059396963</t>
  </si>
  <si>
    <t>358899059402878</t>
  </si>
  <si>
    <t>358899059396708</t>
  </si>
  <si>
    <t>Corolla</t>
  </si>
  <si>
    <t>Beat</t>
  </si>
  <si>
    <t>NP-300</t>
  </si>
  <si>
    <t>Escape</t>
  </si>
  <si>
    <t>Nicolas Medina Romo</t>
  </si>
  <si>
    <t>mrdigital1</t>
  </si>
  <si>
    <t>Rosina Rios</t>
  </si>
  <si>
    <t>Rosina</t>
  </si>
  <si>
    <t>AT6-48242</t>
  </si>
  <si>
    <t>AT6-47707</t>
  </si>
  <si>
    <t>AT6-45115</t>
  </si>
  <si>
    <t>860796050445115</t>
  </si>
  <si>
    <t>860796050450628</t>
  </si>
  <si>
    <t>AT6-50628</t>
  </si>
  <si>
    <t>860796050449901</t>
  </si>
  <si>
    <t>860796050450057</t>
  </si>
  <si>
    <t>AT6-49901</t>
  </si>
  <si>
    <t>AT6-50057</t>
  </si>
  <si>
    <t>357660096216809</t>
  </si>
  <si>
    <t>Concox Q2</t>
  </si>
  <si>
    <t>Ventas IOT</t>
  </si>
  <si>
    <t>Bernardo Rodriguez Bracamontes</t>
  </si>
  <si>
    <t>Bernardo Rodriguez Bracamontes/Baja</t>
  </si>
  <si>
    <t>SinEquipo</t>
  </si>
  <si>
    <t>Vencimiento</t>
  </si>
  <si>
    <t>4461318421</t>
  </si>
  <si>
    <t>359857084848456</t>
  </si>
  <si>
    <t>6624055194</t>
  </si>
  <si>
    <t>Jose Mundo Alvarez Ortiz</t>
  </si>
  <si>
    <t>Ducato Nueva</t>
  </si>
  <si>
    <t>08 BajaWemobile</t>
  </si>
  <si>
    <t>Etiquetas de fila</t>
  </si>
  <si>
    <t>(en blanco)</t>
  </si>
  <si>
    <t>Total general</t>
  </si>
  <si>
    <t>Arrendam</t>
  </si>
  <si>
    <t>Precio</t>
  </si>
  <si>
    <t>Periodos</t>
  </si>
  <si>
    <t>Cuenta de Nombre</t>
  </si>
  <si>
    <t>(E32) Kenworth-T800B-2012-FB85703-OSCAR GARCIA CH</t>
  </si>
  <si>
    <t>Ruptela HCV5</t>
  </si>
  <si>
    <t>() Hyundai Elantra GCH120B</t>
  </si>
  <si>
    <t>() Hyundai Elantra FXF322B</t>
  </si>
  <si>
    <t>(186) GMC-Terrain-2021-GDY360B-MARTIN ADAME ESCAM</t>
  </si>
  <si>
    <t>423663910347138</t>
  </si>
  <si>
    <t>423663910347141</t>
  </si>
  <si>
    <t>423663910347142</t>
  </si>
  <si>
    <t>423663910347143</t>
  </si>
  <si>
    <t>423663910347144</t>
  </si>
  <si>
    <t>423663910347145</t>
  </si>
  <si>
    <t>423663910347148</t>
  </si>
  <si>
    <t>423663910347149</t>
  </si>
  <si>
    <t>423663910347150</t>
  </si>
  <si>
    <t xml:space="preserve">
423663910347192</t>
  </si>
  <si>
    <t>423663910347193</t>
  </si>
  <si>
    <t>423663910347194</t>
  </si>
  <si>
    <t>423663910347196</t>
  </si>
  <si>
    <t>423663910347197</t>
  </si>
  <si>
    <t>423663910347198</t>
  </si>
  <si>
    <t>423663910347199</t>
  </si>
  <si>
    <t>423663910347201</t>
  </si>
  <si>
    <t>423663910347280</t>
  </si>
  <si>
    <t>423663910347281</t>
  </si>
  <si>
    <t>423663910347282</t>
  </si>
  <si>
    <t>423663910347283</t>
  </si>
  <si>
    <t>423663910347285</t>
  </si>
  <si>
    <t>423663910347287</t>
  </si>
  <si>
    <t>423663910347288</t>
  </si>
  <si>
    <t>423663910347289</t>
  </si>
  <si>
    <t>423663920045209</t>
  </si>
  <si>
    <t>423663920045210</t>
  </si>
  <si>
    <t>423663920045211</t>
  </si>
  <si>
    <t>423663920045212</t>
  </si>
  <si>
    <t>423663920045213</t>
  </si>
  <si>
    <t>423663920045214</t>
  </si>
  <si>
    <t>423663920045215</t>
  </si>
  <si>
    <t>423663920045216</t>
  </si>
  <si>
    <t>423663920045217</t>
  </si>
  <si>
    <t>423663920045218</t>
  </si>
  <si>
    <t>8664250373617307</t>
  </si>
  <si>
    <t>8664250372965207</t>
  </si>
  <si>
    <t xml:space="preserve">
8664250373043507</t>
  </si>
  <si>
    <t>8664250377168407</t>
  </si>
  <si>
    <t xml:space="preserve">
8652840404852202</t>
  </si>
  <si>
    <t>8652840404930702</t>
  </si>
  <si>
    <t xml:space="preserve">
8664250368425207</t>
  </si>
  <si>
    <t xml:space="preserve">
8664250373348007</t>
  </si>
  <si>
    <t>8664250373872707</t>
  </si>
  <si>
    <t xml:space="preserve">
8664250373100307</t>
  </si>
  <si>
    <t>8652840405647702</t>
  </si>
  <si>
    <t xml:space="preserve">
8652840406456402</t>
  </si>
  <si>
    <t>8652840404852202</t>
  </si>
  <si>
    <t xml:space="preserve">
8652840404930702</t>
  </si>
  <si>
    <t>3547250603962706</t>
  </si>
  <si>
    <t>0680026594</t>
  </si>
  <si>
    <t>860640059365082</t>
  </si>
  <si>
    <t>T-Grua TXT- (21) nuevo</t>
  </si>
  <si>
    <t>0680026593</t>
  </si>
  <si>
    <t>austin</t>
  </si>
  <si>
    <t>aconcagua</t>
  </si>
  <si>
    <t>(188) Dgo Hilux FB-6508-A Rogelio Romero</t>
  </si>
  <si>
    <t>12 Emnify</t>
  </si>
  <si>
    <t>0680026595</t>
  </si>
  <si>
    <t>Tecalitlan</t>
  </si>
  <si>
    <t>860640059439911</t>
  </si>
  <si>
    <t>0680027889</t>
  </si>
  <si>
    <t>860640059407520</t>
  </si>
  <si>
    <t>RodrigoMendoza</t>
  </si>
  <si>
    <t>0680027890</t>
  </si>
  <si>
    <t>860640059478224</t>
  </si>
  <si>
    <t>Mitsubishi</t>
  </si>
  <si>
    <t>867553056725187</t>
  </si>
  <si>
    <t>MiguelFlores</t>
  </si>
  <si>
    <t>19/07/2022</t>
  </si>
  <si>
    <t>860640059432478</t>
  </si>
  <si>
    <t>0680027891</t>
  </si>
  <si>
    <t>'0680027891</t>
  </si>
  <si>
    <t>0680027892</t>
  </si>
  <si>
    <t>860640059426330</t>
  </si>
  <si>
    <t>0680027893</t>
  </si>
  <si>
    <t>Chevy</t>
  </si>
  <si>
    <t>860640059430340</t>
  </si>
  <si>
    <t>ArmadurasJal</t>
  </si>
  <si>
    <t>8988303000006747248</t>
  </si>
  <si>
    <t>8988303000006747223</t>
  </si>
  <si>
    <t>8988303000006747224</t>
  </si>
  <si>
    <t>8988303000006747225</t>
  </si>
  <si>
    <t>8988303000006747226</t>
  </si>
  <si>
    <t>8988303000006747227</t>
  </si>
  <si>
    <t>8988303000006747228</t>
  </si>
  <si>
    <t>8988303000006747229</t>
  </si>
  <si>
    <t>8988303000006747230</t>
  </si>
  <si>
    <t>8988303000006747231</t>
  </si>
  <si>
    <t>8988303000006747232</t>
  </si>
  <si>
    <t>8988303000006747233</t>
  </si>
  <si>
    <t>8988303000006747234</t>
  </si>
  <si>
    <t>8988303000006747235</t>
  </si>
  <si>
    <t>8988303000006747236</t>
  </si>
  <si>
    <t>8988303000006747237</t>
  </si>
  <si>
    <t>8988303000006747238</t>
  </si>
  <si>
    <t>8988303000006747239</t>
  </si>
  <si>
    <t>8988303000006747240</t>
  </si>
  <si>
    <t>8988303000006747241</t>
  </si>
  <si>
    <t>8988303000006747242</t>
  </si>
  <si>
    <t>8988303000006747243</t>
  </si>
  <si>
    <t>8988303000006747244</t>
  </si>
  <si>
    <t>8988303000006747245</t>
  </si>
  <si>
    <t>8988303000006747246</t>
  </si>
  <si>
    <t>8988303000006747247</t>
  </si>
  <si>
    <t>0680009942</t>
  </si>
  <si>
    <t>868923057178018</t>
  </si>
  <si>
    <t>8988303000006747249</t>
  </si>
  <si>
    <t>8988303000006747250</t>
  </si>
  <si>
    <t>867730058869318</t>
  </si>
  <si>
    <t>Ruptela Trace5 NA</t>
  </si>
  <si>
    <t>8988303000006747251</t>
  </si>
  <si>
    <t>8988303000006747252</t>
  </si>
  <si>
    <t>8988303000006747253</t>
  </si>
  <si>
    <t>8988303000006747254</t>
  </si>
  <si>
    <t>8988303000006747255</t>
  </si>
  <si>
    <t>8988303000006747256</t>
  </si>
  <si>
    <t>8988303000006747257</t>
  </si>
  <si>
    <t>8988303000006747258</t>
  </si>
  <si>
    <t>8988303000006747259</t>
  </si>
  <si>
    <t>8988303000006747260</t>
  </si>
  <si>
    <t>8988303000006747261</t>
  </si>
  <si>
    <t>8988303000006747262</t>
  </si>
  <si>
    <t>8988303000006747263</t>
  </si>
  <si>
    <t>8988303000006747264</t>
  </si>
  <si>
    <t>8988303000006747265</t>
  </si>
  <si>
    <t>8988303000006747266</t>
  </si>
  <si>
    <t>8988303000006747267</t>
  </si>
  <si>
    <t>8988303000006747268</t>
  </si>
  <si>
    <t>8988303000006747269</t>
  </si>
  <si>
    <t>8988303000006747270</t>
  </si>
  <si>
    <t>8988303000006747271</t>
  </si>
  <si>
    <t>8988303000006747272</t>
  </si>
  <si>
    <t>0680031757</t>
  </si>
  <si>
    <t>866770059551813</t>
  </si>
  <si>
    <t>0680031758</t>
  </si>
  <si>
    <t>866770059584749</t>
  </si>
  <si>
    <t>0680031759</t>
  </si>
  <si>
    <t>866770059549981</t>
  </si>
  <si>
    <t>0680031761</t>
  </si>
  <si>
    <t>HoyHealth</t>
  </si>
  <si>
    <t>866770059646490</t>
  </si>
  <si>
    <t>0680031760</t>
  </si>
  <si>
    <t>0680031762</t>
  </si>
  <si>
    <t>866770059546441</t>
  </si>
  <si>
    <t>866770059549940</t>
  </si>
  <si>
    <t>0680031763</t>
  </si>
  <si>
    <t>866770059546342</t>
  </si>
  <si>
    <t>0680031764</t>
  </si>
  <si>
    <t>860640059321044</t>
  </si>
  <si>
    <t>0680031765</t>
  </si>
  <si>
    <t>0680031766</t>
  </si>
  <si>
    <t>866770059553222</t>
  </si>
  <si>
    <t>0680031767</t>
  </si>
  <si>
    <t>866770059552837</t>
  </si>
  <si>
    <t>866770059551235</t>
  </si>
  <si>
    <t>0680031768</t>
  </si>
  <si>
    <t>866770059553470</t>
  </si>
  <si>
    <t>0680031769</t>
  </si>
  <si>
    <t>866770059585167</t>
  </si>
  <si>
    <t>0680031770</t>
  </si>
  <si>
    <t>866770059553439</t>
  </si>
  <si>
    <t>0680031771</t>
  </si>
  <si>
    <t>866770059541939</t>
  </si>
  <si>
    <t>0680031772</t>
  </si>
  <si>
    <t>860640059346223</t>
  </si>
  <si>
    <t>0680031773</t>
  </si>
  <si>
    <t>15 Baja Emprenet</t>
  </si>
  <si>
    <t>866770059549916</t>
  </si>
  <si>
    <t>1002</t>
  </si>
  <si>
    <t>THOG</t>
  </si>
  <si>
    <t>(89) Mitzubishi L200 FY517A Ismael Peña</t>
  </si>
  <si>
    <t>Beat JPJ-8229</t>
  </si>
  <si>
    <t>Spark JJZ-8187</t>
  </si>
  <si>
    <t>Attitude SP</t>
  </si>
  <si>
    <t>March NS210250 S/P</t>
  </si>
  <si>
    <t>Volvo 01</t>
  </si>
  <si>
    <t>Volvo 03</t>
  </si>
  <si>
    <t>Volvo 04</t>
  </si>
  <si>
    <t>0680031774</t>
  </si>
  <si>
    <t>860640059345993</t>
  </si>
  <si>
    <t>0680031775</t>
  </si>
  <si>
    <t>0680031776</t>
  </si>
  <si>
    <t>866770059675069</t>
  </si>
  <si>
    <t>866770059585043</t>
  </si>
  <si>
    <t>AustinPowder</t>
  </si>
  <si>
    <t>8988303000007662158</t>
  </si>
  <si>
    <t>8988303000007662159</t>
  </si>
  <si>
    <t>8988303000007662160</t>
  </si>
  <si>
    <t>8988303000007662161</t>
  </si>
  <si>
    <t>8988303000007662162</t>
  </si>
  <si>
    <t>8988303000007662163</t>
  </si>
  <si>
    <t>8988303000007662164</t>
  </si>
  <si>
    <t>8988303000007662165</t>
  </si>
  <si>
    <t>8988303000007662166</t>
  </si>
  <si>
    <t>8988303000007662167</t>
  </si>
  <si>
    <t>8988303000007662168</t>
  </si>
  <si>
    <t>8988303000007662169</t>
  </si>
  <si>
    <t>8988303000007662170</t>
  </si>
  <si>
    <t>8988303000007662171</t>
  </si>
  <si>
    <t>8988303000007662172</t>
  </si>
  <si>
    <t>8988303000007662173</t>
  </si>
  <si>
    <t>8988303000007662174</t>
  </si>
  <si>
    <t>8988303000007662175</t>
  </si>
  <si>
    <t>8988303000007662176</t>
  </si>
  <si>
    <t>8988303000007662177</t>
  </si>
  <si>
    <t>8988303000007662178</t>
  </si>
  <si>
    <t>8988303000007662179</t>
  </si>
  <si>
    <t>8988303000007662180</t>
  </si>
  <si>
    <t>8988303000007662181</t>
  </si>
  <si>
    <t>8988303000007662182</t>
  </si>
  <si>
    <t>Quecklink GV55</t>
  </si>
  <si>
    <t>863940058293138</t>
  </si>
  <si>
    <t>863940058293351</t>
  </si>
  <si>
    <t>863940058329759</t>
  </si>
  <si>
    <t>863940058383723</t>
  </si>
  <si>
    <t>863940058424196</t>
  </si>
  <si>
    <t>BR-05 Freigthliner</t>
  </si>
  <si>
    <t>(129) Volvo EU7087B Planta Dinamita</t>
  </si>
  <si>
    <t>Beat JPM-9926</t>
  </si>
  <si>
    <t>March JSF-2290</t>
  </si>
  <si>
    <t>() Renault Koleos GDY736B</t>
  </si>
  <si>
    <t>Ram 4000 EW8533B</t>
  </si>
  <si>
    <t>NP300 JV-93724</t>
  </si>
  <si>
    <t>() Mitzubishi L200 EU7046B Benjamin Hidalgo</t>
  </si>
  <si>
    <t>Smart</t>
  </si>
  <si>
    <t>(60) Mitzubishi L200 fl9520a David Rodriguez</t>
  </si>
  <si>
    <t>Austin 0680031762</t>
  </si>
  <si>
    <t>GQGlobal</t>
  </si>
  <si>
    <t>8988303000007662183</t>
  </si>
  <si>
    <t>8988303000007662184</t>
  </si>
  <si>
    <t>8988303000007662185</t>
  </si>
  <si>
    <t>863940058329486</t>
  </si>
  <si>
    <t>863940058329965</t>
  </si>
  <si>
    <t>TransportesYuyin</t>
  </si>
  <si>
    <t>8657840511357978</t>
  </si>
  <si>
    <t>3537010963750378</t>
  </si>
  <si>
    <t>3537010966491678</t>
  </si>
  <si>
    <t>3537010981934278</t>
  </si>
  <si>
    <t>3537010981852778</t>
  </si>
  <si>
    <t>8952020021454387859</t>
  </si>
  <si>
    <t>Grua /ford/ cambio sim emnify</t>
  </si>
  <si>
    <t>GDL 10 International/cambio sim emnify</t>
  </si>
  <si>
    <t>8952020021454385721</t>
  </si>
  <si>
    <t>0071000AE0</t>
  </si>
  <si>
    <t>0071000AA3</t>
  </si>
  <si>
    <t>8988303000007662186</t>
  </si>
  <si>
    <t>8988303000007662187</t>
  </si>
  <si>
    <t>8988303000007662188</t>
  </si>
  <si>
    <t>8988303000007662189</t>
  </si>
  <si>
    <t>8988303000007662190</t>
  </si>
  <si>
    <t>863844053942501</t>
  </si>
  <si>
    <t>1003</t>
  </si>
  <si>
    <t>Coban GPS303-C</t>
  </si>
  <si>
    <t>8988303000007662191</t>
  </si>
  <si>
    <t>8988303000007662192</t>
  </si>
  <si>
    <t>8988303000007662193</t>
  </si>
  <si>
    <t>8988303000007662194</t>
  </si>
  <si>
    <t>8988303000007662195</t>
  </si>
  <si>
    <t>8988303000007662196</t>
  </si>
  <si>
    <t>8988303000007662197</t>
  </si>
  <si>
    <t>8988303000007662198</t>
  </si>
  <si>
    <t>8988303000007662199</t>
  </si>
  <si>
    <t>8988303000007662200</t>
  </si>
  <si>
    <t>8988303000007662201</t>
  </si>
  <si>
    <t>8988303000007662202</t>
  </si>
  <si>
    <t>8988303000007662203</t>
  </si>
  <si>
    <t>8988303000007662204</t>
  </si>
  <si>
    <t>8988303000007662205</t>
  </si>
  <si>
    <t>865784051135799</t>
  </si>
  <si>
    <t>353701096375031</t>
  </si>
  <si>
    <t>353701096649161</t>
  </si>
  <si>
    <t>353701098193424</t>
  </si>
  <si>
    <t>353701098185271</t>
  </si>
  <si>
    <t>865784051128315</t>
  </si>
  <si>
    <t>86578405113179</t>
  </si>
  <si>
    <t>8952020521552441953</t>
  </si>
  <si>
    <t>(E26) MDVR-F550-2019-JW16700-RIOS GUTIERREZ SANTOS</t>
  </si>
  <si>
    <t>8952020521552441961</t>
  </si>
  <si>
    <t>(E32) MDVR GDL KW 2012 FB85703 Trailer</t>
  </si>
  <si>
    <t>(E25) Kenworth-T370-2010-FL9471A-ANGEL-FT40383</t>
  </si>
  <si>
    <t>(140) Mitsubishi-L200-2010-FB86304-Leticia Mtz</t>
  </si>
  <si>
    <t>(PTC) L200 EU7015B Martin Hoyos</t>
  </si>
  <si>
    <t>863940058431456</t>
  </si>
  <si>
    <t>8988303000007662206</t>
  </si>
  <si>
    <t>8988303000007662207</t>
  </si>
  <si>
    <t>863940058332365</t>
  </si>
  <si>
    <t>863940058293195</t>
  </si>
  <si>
    <t xml:space="preserve">	
F-450 ECO 19 OP MANUEL</t>
  </si>
  <si>
    <t>8988303000005986882</t>
  </si>
  <si>
    <t>8988303000005986884</t>
  </si>
  <si>
    <t>8988303000005986888</t>
  </si>
  <si>
    <t>8988303000005986901</t>
  </si>
  <si>
    <t>8988303000006249311</t>
  </si>
  <si>
    <t>8988303000006249312</t>
  </si>
  <si>
    <t>8988303000006249313</t>
  </si>
  <si>
    <t>8988303000006249319</t>
  </si>
  <si>
    <t>8988303000006249320</t>
  </si>
  <si>
    <t>8988303000006249321</t>
  </si>
  <si>
    <t>8988303000006249322</t>
  </si>
  <si>
    <t>8988303000006249325</t>
  </si>
  <si>
    <t>8988303000006249328</t>
  </si>
  <si>
    <t>8988303000006249329</t>
  </si>
  <si>
    <t>Disable</t>
  </si>
  <si>
    <t>863940058293013</t>
  </si>
  <si>
    <t>tornimaster</t>
  </si>
  <si>
    <t>8988303000007662208</t>
  </si>
  <si>
    <t>8988303000007662209</t>
  </si>
  <si>
    <t>8988303000007662210</t>
  </si>
  <si>
    <t>8988303000007662211</t>
  </si>
  <si>
    <t>8988303000007662212</t>
  </si>
  <si>
    <t>8988303000007662213</t>
  </si>
  <si>
    <t>8988303000007662214</t>
  </si>
  <si>
    <t>8988303000007662215</t>
  </si>
  <si>
    <t>8988303000007662216</t>
  </si>
  <si>
    <t>8988303000007662217</t>
  </si>
  <si>
    <t>8988303000007662218</t>
  </si>
  <si>
    <t>8988303000007662219</t>
  </si>
  <si>
    <t>8988303000007662220</t>
  </si>
  <si>
    <t>8988303000007662221</t>
  </si>
  <si>
    <t>8988303000007662222</t>
  </si>
  <si>
    <t>8988303000007662223</t>
  </si>
  <si>
    <t>8988303000007662224</t>
  </si>
  <si>
    <t>8988303000007662225</t>
  </si>
  <si>
    <t>8988303000007662226</t>
  </si>
  <si>
    <t>8988303000007662227</t>
  </si>
  <si>
    <t>8988303000007662228</t>
  </si>
  <si>
    <t>8988303000007662229</t>
  </si>
  <si>
    <t>8988303000007662230</t>
  </si>
  <si>
    <t>8988303000007662231</t>
  </si>
  <si>
    <t>8988303000007662232</t>
  </si>
  <si>
    <t>VW JP24372</t>
  </si>
  <si>
    <t>0950025926</t>
  </si>
  <si>
    <t>Hino JW73202</t>
  </si>
  <si>
    <t>0950025927</t>
  </si>
  <si>
    <t>Toyota Hilux JX30009</t>
  </si>
  <si>
    <t>0950025928</t>
  </si>
  <si>
    <t>Toyota Hilux JX32035</t>
  </si>
  <si>
    <t>0950025929</t>
  </si>
  <si>
    <t>Hino JV25917</t>
  </si>
  <si>
    <t>0950025930</t>
  </si>
  <si>
    <t>863940058293328</t>
  </si>
  <si>
    <t>863940058329098</t>
  </si>
  <si>
    <t>863940058329981</t>
  </si>
  <si>
    <t>863940058341762</t>
  </si>
  <si>
    <t>863940058346241</t>
  </si>
  <si>
    <t>863940058411227</t>
  </si>
  <si>
    <t>863940058791586</t>
  </si>
  <si>
    <t>863940058793640</t>
  </si>
  <si>
    <t>MasHarina</t>
  </si>
  <si>
    <t>863940058348833</t>
  </si>
  <si>
    <t>Volvo 07</t>
  </si>
  <si>
    <t>Volvo 08</t>
  </si>
  <si>
    <t>Ford Jumbo</t>
  </si>
  <si>
    <t>A&amp;ATransport</t>
  </si>
  <si>
    <t>baja robo</t>
  </si>
  <si>
    <t>Nissan Versa GJD582D</t>
  </si>
  <si>
    <t>863940058350078</t>
  </si>
  <si>
    <t>Attitude GUR358E</t>
  </si>
  <si>
    <t>VW Gol JTH8859</t>
  </si>
  <si>
    <t>Partner JW51952</t>
  </si>
  <si>
    <t>C-11 Transit</t>
  </si>
  <si>
    <t>Spark RGL8887</t>
  </si>
  <si>
    <t>Nissan NP300 NWP6308</t>
  </si>
  <si>
    <t>Toyota Avanza  JSM3539</t>
  </si>
  <si>
    <t>Partner JW15428</t>
  </si>
  <si>
    <t>Partner JW15438</t>
  </si>
  <si>
    <t>Hino JX29690</t>
  </si>
  <si>
    <t>NP300 G</t>
  </si>
  <si>
    <t>Kenworth T600 49AS7X</t>
  </si>
  <si>
    <t>FAW 67AT6W</t>
  </si>
  <si>
    <t>C-0 Nissan NP300</t>
  </si>
  <si>
    <t>(90) Mitzubishi l200 fw7929a Erick Rea</t>
  </si>
  <si>
    <t>864802030380145</t>
  </si>
  <si>
    <t>Queclink GV75W</t>
  </si>
  <si>
    <t>(96) Mitzubishi l200 fw8932a Marco Jonathan</t>
  </si>
  <si>
    <t>864802030139848</t>
  </si>
  <si>
    <t>(78) Mitzubishi l200 fu0686a jaime rodriguez</t>
  </si>
  <si>
    <t>864802030380277</t>
  </si>
  <si>
    <t>(32) international 03dva26 David Rodriguez</t>
  </si>
  <si>
    <t>864802030313484</t>
  </si>
  <si>
    <t>(126) Ford Ranger eu7086b Karina Garcia</t>
  </si>
  <si>
    <t>864802030083590</t>
  </si>
  <si>
    <t>(38) Jepp patriot fzt503a Luis Santiago</t>
  </si>
  <si>
    <t>864802030138808</t>
  </si>
  <si>
    <t>C-X Transit jrx39-05</t>
  </si>
  <si>
    <t>C-1 Transit JW35-603</t>
  </si>
  <si>
    <t>C-2 Transit JW50621</t>
  </si>
  <si>
    <t>C-5 Transit JX18-792</t>
  </si>
  <si>
    <t>(79) Toyota rav4 fxv047b Gerardo Flores</t>
  </si>
  <si>
    <t>864802030139863</t>
  </si>
  <si>
    <t>(64) VW jetta fyy553b Ernesto Diaz</t>
  </si>
  <si>
    <t>864802030068161</t>
  </si>
  <si>
    <t>baja Suspensión</t>
  </si>
  <si>
    <t>HectorGonzalezG</t>
  </si>
  <si>
    <t>8639400583501258</t>
  </si>
  <si>
    <t>863003048397681</t>
  </si>
  <si>
    <t>MB Luis</t>
  </si>
  <si>
    <t>C-X2 Transit</t>
  </si>
  <si>
    <t>863940058710743</t>
  </si>
  <si>
    <t>863940058678429</t>
  </si>
  <si>
    <t>863940058645576</t>
  </si>
  <si>
    <t>BERNARDO</t>
  </si>
  <si>
    <t>BERNANRDO</t>
  </si>
  <si>
    <t>8988303000007662258</t>
  </si>
  <si>
    <t>8988303000007662259</t>
  </si>
  <si>
    <t>8988303000007662260</t>
  </si>
  <si>
    <t>8988303000007662261</t>
  </si>
  <si>
    <t>8988303000007662262</t>
  </si>
  <si>
    <t>8988303000007662263</t>
  </si>
  <si>
    <t>8988303000007662264</t>
  </si>
  <si>
    <t>8988303000007662265</t>
  </si>
  <si>
    <t>8988303000007662266</t>
  </si>
  <si>
    <t>8988303000007662267</t>
  </si>
  <si>
    <t>8988303000007662268</t>
  </si>
  <si>
    <t>8988303000007662269</t>
  </si>
  <si>
    <t>8988303000007662270</t>
  </si>
  <si>
    <t>8988303000007662271</t>
  </si>
  <si>
    <t>8988303000007662272</t>
  </si>
  <si>
    <t>8988303000007662273</t>
  </si>
  <si>
    <t>8988303000007662277</t>
  </si>
  <si>
    <t>8988303000007662274</t>
  </si>
  <si>
    <t>8988303000007662275</t>
  </si>
  <si>
    <t>8988303000007662276</t>
  </si>
  <si>
    <t>8988303000007662278</t>
  </si>
  <si>
    <t>8988303000007662279</t>
  </si>
  <si>
    <t>8988303000007662280</t>
  </si>
  <si>
    <t>8988303000007662281</t>
  </si>
  <si>
    <t>8988303000007662282</t>
  </si>
  <si>
    <t>863940058431597</t>
  </si>
  <si>
    <t>863940058662001</t>
  </si>
  <si>
    <t>T-05 Kenworth 226EY3</t>
  </si>
  <si>
    <t>864593056411480</t>
  </si>
  <si>
    <t>ComerFrutas</t>
  </si>
  <si>
    <t>Bomba</t>
  </si>
  <si>
    <t>() Urban 2023</t>
  </si>
  <si>
    <t>863940058293054</t>
  </si>
  <si>
    <t>863940058411136</t>
  </si>
  <si>
    <t>Bernardo Rodriguez</t>
  </si>
  <si>
    <t>GDL 08 Minibus</t>
  </si>
  <si>
    <t>C-Kia Antonio M</t>
  </si>
  <si>
    <t>Mini TGM-876-A</t>
  </si>
  <si>
    <t>863940058331771</t>
  </si>
  <si>
    <t>VW Robust GU7937C</t>
  </si>
  <si>
    <t>863940058752554</t>
  </si>
  <si>
    <t>359857085952307</t>
  </si>
  <si>
    <t>Concox GT06E Fuel</t>
  </si>
  <si>
    <t>Arvensis</t>
  </si>
  <si>
    <t>359857085959054</t>
  </si>
  <si>
    <t>359857085995793</t>
  </si>
  <si>
    <t>863940058724181</t>
  </si>
  <si>
    <t>Ford Econoline</t>
  </si>
  <si>
    <t>863940059748502</t>
  </si>
  <si>
    <t>Freighliner 15AK1E</t>
  </si>
  <si>
    <t>CPPTilcamex</t>
  </si>
  <si>
    <t>863940059854672</t>
  </si>
  <si>
    <t>UNIDAD 863940059854672</t>
  </si>
  <si>
    <t>863940059744154</t>
  </si>
  <si>
    <t>UNIDAD 863940059744154</t>
  </si>
  <si>
    <t>Volvo 058EW1</t>
  </si>
  <si>
    <t>863940058380257</t>
  </si>
  <si>
    <t>JJRivera</t>
  </si>
  <si>
    <t>Kenworth 785AR9</t>
  </si>
  <si>
    <t>863940058395115</t>
  </si>
  <si>
    <t>Equipo nuevo1</t>
  </si>
  <si>
    <t>864593056255614</t>
  </si>
  <si>
    <t>Equipo nuevo2</t>
  </si>
  <si>
    <t>864593056354417</t>
  </si>
  <si>
    <t>Cascadia</t>
  </si>
  <si>
    <t>VW Caddy Puebla</t>
  </si>
  <si>
    <t>8988303000000851283</t>
  </si>
  <si>
    <t>Kia Rio JPE-8316</t>
  </si>
  <si>
    <t>470000091</t>
  </si>
  <si>
    <t>866425037306870</t>
  </si>
  <si>
    <t>423663910347195</t>
  </si>
  <si>
    <t>Grua 01</t>
  </si>
  <si>
    <t>8988303000007659458</t>
  </si>
  <si>
    <t>8988303000007659459</t>
  </si>
  <si>
    <t>8988303000007659460</t>
  </si>
  <si>
    <t>8988303000007659461</t>
  </si>
  <si>
    <t>8988303000007659462</t>
  </si>
  <si>
    <t>8988303000007659463</t>
  </si>
  <si>
    <t>8988303000007659464</t>
  </si>
  <si>
    <t>8988303000007659465</t>
  </si>
  <si>
    <t>8988303000007659466</t>
  </si>
  <si>
    <t>8988303000007659467</t>
  </si>
  <si>
    <t>8988303000007659468</t>
  </si>
  <si>
    <t>8988303000007659469</t>
  </si>
  <si>
    <t>8988303000007659470</t>
  </si>
  <si>
    <t>8988303000007659471</t>
  </si>
  <si>
    <t>8988303000007659472</t>
  </si>
  <si>
    <t>8988303000007659473</t>
  </si>
  <si>
    <t>8988303000007659474</t>
  </si>
  <si>
    <t>8988303000007659475</t>
  </si>
  <si>
    <t>8988303000007659476</t>
  </si>
  <si>
    <t>8988303000007659477</t>
  </si>
  <si>
    <t>8988303000007659478</t>
  </si>
  <si>
    <t>8988303000007659479</t>
  </si>
  <si>
    <t>8988303000007659480</t>
  </si>
  <si>
    <t>8988303000007659481</t>
  </si>
  <si>
    <t>8988303000007659482</t>
  </si>
  <si>
    <t>Attitude rojo GWG529E</t>
  </si>
  <si>
    <t>864593056253320</t>
  </si>
  <si>
    <t>Versa Plata</t>
  </si>
  <si>
    <t>864593056271686</t>
  </si>
  <si>
    <t>Hino Nvo JX60308</t>
  </si>
  <si>
    <t>864593056305278</t>
  </si>
  <si>
    <t>C-6 Transit Leon</t>
  </si>
  <si>
    <t>863940058424774</t>
  </si>
  <si>
    <t>869530041910833</t>
  </si>
  <si>
    <t>864593056311086</t>
  </si>
  <si>
    <t>Unidad MTY</t>
  </si>
  <si>
    <t>864593056310898</t>
  </si>
  <si>
    <t>Unidad PVTA</t>
  </si>
  <si>
    <t>( ) Nissan Frontier JT87049</t>
  </si>
  <si>
    <t>SidneyColima/extraviado</t>
  </si>
  <si>
    <t>Versa Marbella</t>
  </si>
  <si>
    <t>Freigthliner nuevo</t>
  </si>
  <si>
    <t>Silverado 2006 786-ED7</t>
  </si>
  <si>
    <t>Worker 27</t>
  </si>
  <si>
    <t>Hermosillo1/pendiente</t>
  </si>
  <si>
    <t>Hermosillo3/pendiente</t>
  </si>
  <si>
    <t>S-22 Tacoma VD33328</t>
  </si>
  <si>
    <t>359857084522713</t>
  </si>
  <si>
    <t>356430073542713</t>
  </si>
  <si>
    <t>ElMundoPAG</t>
  </si>
  <si>
    <t>Isuzu Mochis Nvo</t>
  </si>
  <si>
    <t>Isuzu ELF800 JW30641</t>
  </si>
  <si>
    <t>Isuzu ELF300 LF64097</t>
  </si>
  <si>
    <t>() Inetnational</t>
  </si>
  <si>
    <t>864593056393944</t>
  </si>
  <si>
    <t>Nissan GDL</t>
  </si>
  <si>
    <t>353549090238428</t>
  </si>
  <si>
    <t>353549090153080</t>
  </si>
  <si>
    <t>351608083504436</t>
  </si>
  <si>
    <t>865784051131129</t>
  </si>
  <si>
    <t>865784051129883</t>
  </si>
  <si>
    <t>865784051128802</t>
  </si>
  <si>
    <t>865784051131657</t>
  </si>
  <si>
    <t>865784051127465</t>
  </si>
  <si>
    <t>865784051128075</t>
  </si>
  <si>
    <t>JN99520 RAM/TARIMAS RG</t>
  </si>
  <si>
    <t>JT84122 / TARIMAS RG</t>
  </si>
  <si>
    <t>JV01031/TARIMAS RG</t>
  </si>
  <si>
    <t>JX43884/TARIMAS RG</t>
  </si>
  <si>
    <t>RAM GRIS/TARIMAS RG</t>
  </si>
  <si>
    <t>TACOMA GRIS/TARIMAS RG</t>
  </si>
  <si>
    <t>86578405113915</t>
  </si>
  <si>
    <t>(E35 PTC) MDVR KW EU7022B</t>
  </si>
  <si>
    <t>(E36 PTC) MDVR KW EU7021B</t>
  </si>
  <si>
    <t>E (15) Dgo Kenworth FB86331 Hugo Alvarez</t>
  </si>
  <si>
    <t>Toyota Hiace 2016 (New EWW316B) MISAEL MONROY</t>
  </si>
  <si>
    <t>359857082613431</t>
  </si>
  <si>
    <t>BR-01 Kenworth UK-39930</t>
  </si>
  <si>
    <t>Italika</t>
  </si>
  <si>
    <t>honda</t>
  </si>
  <si>
    <t>Frontier</t>
  </si>
  <si>
    <t>862476051599354</t>
  </si>
  <si>
    <t>Concox JM-VL03</t>
  </si>
  <si>
    <t>GEDSE</t>
  </si>
  <si>
    <t>862476051607637</t>
  </si>
  <si>
    <t>863940058686109</t>
  </si>
  <si>
    <t>865784053639582</t>
  </si>
  <si>
    <t>Bernardo Rodriguez Bracamentes/ford utah</t>
  </si>
  <si>
    <t>865784053640259</t>
  </si>
  <si>
    <t>864593056325789</t>
  </si>
  <si>
    <t>Ram 043ER1</t>
  </si>
  <si>
    <t>Freightliner mzt</t>
  </si>
  <si>
    <t>Freightliner 2018</t>
  </si>
  <si>
    <t>Avanza nuevo gps</t>
  </si>
  <si>
    <t>HINO</t>
  </si>
  <si>
    <t>359857085844819</t>
  </si>
  <si>
    <t>'359857085844819</t>
  </si>
  <si>
    <t>863940058746945</t>
  </si>
  <si>
    <t>RAM 2023</t>
  </si>
  <si>
    <t>Ram 044ER1</t>
  </si>
  <si>
    <t>864593056286841</t>
  </si>
  <si>
    <t>Expert</t>
  </si>
  <si>
    <t>867688030299758</t>
  </si>
  <si>
    <t>Ruptela Pro4</t>
  </si>
  <si>
    <t>DistVictoria</t>
  </si>
  <si>
    <t>865851039257266</t>
  </si>
  <si>
    <t>863940058642409</t>
  </si>
  <si>
    <t>Tractor1</t>
  </si>
  <si>
    <t>Ruptela Trace5</t>
  </si>
  <si>
    <t>ORPI</t>
  </si>
  <si>
    <t>863940058660401</t>
  </si>
  <si>
    <t>Tractor2</t>
  </si>
  <si>
    <t>863940058642151</t>
  </si>
  <si>
    <t>Tractor3</t>
  </si>
  <si>
    <t>8988303000007667633</t>
  </si>
  <si>
    <t>8988303000007667634</t>
  </si>
  <si>
    <t>8988303000007667635</t>
  </si>
  <si>
    <t>8988303000007667636</t>
  </si>
  <si>
    <t>8988303000007667637</t>
  </si>
  <si>
    <t>8988303000007667638</t>
  </si>
  <si>
    <t>8988303000007667639</t>
  </si>
  <si>
    <t>8988303000007667640</t>
  </si>
  <si>
    <t>Tractor4</t>
  </si>
  <si>
    <t>862476051600673</t>
  </si>
  <si>
    <t>Moto1</t>
  </si>
  <si>
    <t>864145065112748</t>
  </si>
  <si>
    <t>Auto1</t>
  </si>
  <si>
    <t>864145065144238</t>
  </si>
  <si>
    <t>864145064989765</t>
  </si>
  <si>
    <t>Auto2</t>
  </si>
  <si>
    <t>Auto3</t>
  </si>
  <si>
    <t>Auto4</t>
  </si>
  <si>
    <t>Auto5</t>
  </si>
  <si>
    <t>Auto6</t>
  </si>
  <si>
    <t>Auto7</t>
  </si>
  <si>
    <t>Auto8</t>
  </si>
  <si>
    <t>Auto9</t>
  </si>
  <si>
    <t>864145064989906</t>
  </si>
  <si>
    <t>864145064936600</t>
  </si>
  <si>
    <t>8988303000007667641</t>
  </si>
  <si>
    <t>8988303000007667642</t>
  </si>
  <si>
    <t>8988303000007667643</t>
  </si>
  <si>
    <t>8988303000007667644</t>
  </si>
  <si>
    <t>8988303000007667645</t>
  </si>
  <si>
    <t>864145064997578</t>
  </si>
  <si>
    <t>864145065153445</t>
  </si>
  <si>
    <t>864145064977042</t>
  </si>
  <si>
    <t>864145064959131</t>
  </si>
  <si>
    <t>863940058661151</t>
  </si>
  <si>
    <t>Teltonika Sensor</t>
  </si>
  <si>
    <t>860896050884766</t>
  </si>
  <si>
    <t>Teltonika FMC130</t>
  </si>
  <si>
    <t>359857085882876</t>
  </si>
  <si>
    <t>CARGA COMB</t>
  </si>
  <si>
    <t>8988303000007667646</t>
  </si>
  <si>
    <t>8988303000007667647</t>
  </si>
  <si>
    <t>8988303000007667648</t>
  </si>
  <si>
    <t>8988303000007667649</t>
  </si>
  <si>
    <t>8988303000007667650</t>
  </si>
  <si>
    <t>8988303000007667651</t>
  </si>
  <si>
    <t>8988303000007667652</t>
  </si>
  <si>
    <t>8988303000007667653</t>
  </si>
  <si>
    <t>8988303000007667654</t>
  </si>
  <si>
    <t>8988303000007667655</t>
  </si>
  <si>
    <t>8988303000007667656</t>
  </si>
  <si>
    <t>8988303000007667657</t>
  </si>
  <si>
    <t>FZN 0063 CAN</t>
  </si>
  <si>
    <t>FZN 0960</t>
  </si>
  <si>
    <t>866381059465242</t>
  </si>
  <si>
    <t>FZN 0961 CAN</t>
  </si>
  <si>
    <t>866381059464989</t>
  </si>
  <si>
    <t>FZN 1243</t>
  </si>
  <si>
    <t>866381059467982</t>
  </si>
  <si>
    <t>FZN 1245</t>
  </si>
  <si>
    <t>866381059476348</t>
  </si>
  <si>
    <t>FZN 1274 CAN</t>
  </si>
  <si>
    <t>866381059478252</t>
  </si>
  <si>
    <t>FZN 1436</t>
  </si>
  <si>
    <t>866381059478872</t>
  </si>
  <si>
    <t>FZN 2708 CAN</t>
  </si>
  <si>
    <t>866381059465317</t>
  </si>
  <si>
    <t>FZN 2948 CAN</t>
  </si>
  <si>
    <t>866381059478948</t>
  </si>
  <si>
    <t>FZN 3061 CAN</t>
  </si>
  <si>
    <t>866381059478716</t>
  </si>
  <si>
    <t>FZN 3126 CAN</t>
  </si>
  <si>
    <t>866381059476355</t>
  </si>
  <si>
    <t>FZN 3127 CAN</t>
  </si>
  <si>
    <t>866381059466943</t>
  </si>
  <si>
    <t>FZN 3226</t>
  </si>
  <si>
    <t>866381059465275</t>
  </si>
  <si>
    <t>FZN 3307 CAN</t>
  </si>
  <si>
    <t>860369050263134</t>
  </si>
  <si>
    <t>FZN 1244</t>
  </si>
  <si>
    <t>Ruptela Pro5 Lite</t>
  </si>
  <si>
    <t>866381059466661</t>
  </si>
  <si>
    <t>FZN 3344</t>
  </si>
  <si>
    <t>866381059474533</t>
  </si>
  <si>
    <t>FZN 3597</t>
  </si>
  <si>
    <t>866381059466562</t>
  </si>
  <si>
    <t>FZN 3622</t>
  </si>
  <si>
    <t>866381059465283</t>
  </si>
  <si>
    <t>FZN 3866 CAN</t>
  </si>
  <si>
    <t>866381059465234</t>
  </si>
  <si>
    <t>FZN 4065 CAN</t>
  </si>
  <si>
    <t>8988303000008502383</t>
  </si>
  <si>
    <t>8988303000008502384</t>
  </si>
  <si>
    <t>8988303000008502385</t>
  </si>
  <si>
    <t>8988303000008502386</t>
  </si>
  <si>
    <t>8988303000008502387</t>
  </si>
  <si>
    <t>8988303000008502388</t>
  </si>
  <si>
    <t>8988303000008502389</t>
  </si>
  <si>
    <t>8988303000008502390</t>
  </si>
  <si>
    <t>169-PITIC Hilux FB84754 Alonso Molina-EU7018B</t>
  </si>
  <si>
    <t>864145065064113</t>
  </si>
  <si>
    <t>disponible</t>
  </si>
  <si>
    <t>Nuevo1</t>
  </si>
  <si>
    <t>864145065104596</t>
  </si>
  <si>
    <t>864145065037465</t>
  </si>
  <si>
    <t>ICOMX</t>
  </si>
  <si>
    <t>Equipo 7465</t>
  </si>
  <si>
    <t>89462038043024169718</t>
  </si>
  <si>
    <t>+467191208607586</t>
  </si>
  <si>
    <t>864145065178269</t>
  </si>
  <si>
    <t>nuevo2</t>
  </si>
  <si>
    <t>08 M2MExpress</t>
  </si>
  <si>
    <t>06 Syscom</t>
  </si>
  <si>
    <t>8988303000008502391</t>
  </si>
  <si>
    <t>8988303000008502392</t>
  </si>
  <si>
    <t>8988303000008502393</t>
  </si>
  <si>
    <t>8988303000008502394</t>
  </si>
  <si>
    <t>8988303000008502395</t>
  </si>
  <si>
    <t>8988303000008502396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</si>
</sst>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13" x14ac:knownFonts="1">
    <font>
      <sz val="11"/>
      <color theme="1"/>
      <name val="Calibri"/>
      <family val="2"/>
      <scheme val="minor"/>
    </font>
    <font>
      <sz val="12"/>
      <color indexed="8"/>
      <name val="Verdana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Arial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EEEEEE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>
      <alignment vertical="top" wrapText="1"/>
    </xf>
    <xf numFmtId="0" fontId="7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  <xf numFmtId="0" fontId="0" fillId="4" borderId="0" xfId="0" applyFill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7" xfId="0" applyBorder="1"/>
    <xf numFmtId="0" fontId="6" fillId="0" borderId="8" xfId="0" applyFont="1" applyBorder="1"/>
    <xf numFmtId="0" fontId="6" fillId="0" borderId="9" xfId="0" applyFont="1" applyBorder="1"/>
    <xf numFmtId="0" fontId="0" fillId="0" borderId="1" xfId="0" applyBorder="1"/>
    <xf numFmtId="0" fontId="6" fillId="0" borderId="10" xfId="0" quotePrefix="1" applyFont="1" applyBorder="1" applyAlignment="1">
      <alignment horizontal="left" vertical="center"/>
    </xf>
    <xf numFmtId="14" fontId="6" fillId="0" borderId="2" xfId="0" quotePrefix="1" applyNumberFormat="1" applyFont="1" applyBorder="1"/>
    <xf numFmtId="0" fontId="0" fillId="0" borderId="3" xfId="0" applyBorder="1"/>
    <xf numFmtId="0" fontId="3" fillId="0" borderId="11" xfId="0" quotePrefix="1" applyFont="1" applyBorder="1" applyAlignment="1">
      <alignment horizontal="left" vertical="center"/>
    </xf>
    <xf numFmtId="0" fontId="3" fillId="0" borderId="4" xfId="0" quotePrefix="1" applyFont="1" applyBorder="1" applyAlignment="1">
      <alignment vertical="center"/>
    </xf>
    <xf numFmtId="0" fontId="6" fillId="0" borderId="11" xfId="0" quotePrefix="1" applyFont="1" applyBorder="1" applyAlignment="1">
      <alignment horizontal="left" vertical="center"/>
    </xf>
    <xf numFmtId="14" fontId="6" fillId="0" borderId="4" xfId="0" quotePrefix="1" applyNumberFormat="1" applyFont="1" applyBorder="1"/>
    <xf numFmtId="0" fontId="0" fillId="0" borderId="5" xfId="0" applyBorder="1"/>
    <xf numFmtId="0" fontId="6" fillId="0" borderId="12" xfId="0" quotePrefix="1" applyFont="1" applyBorder="1" applyAlignment="1">
      <alignment horizontal="left" vertical="center"/>
    </xf>
    <xf numFmtId="14" fontId="6" fillId="0" borderId="6" xfId="0" applyNumberFormat="1" applyFont="1" applyBorder="1"/>
    <xf numFmtId="0" fontId="3" fillId="3" borderId="0" xfId="0" applyFont="1" applyFill="1" applyAlignment="1">
      <alignment horizontal="left"/>
    </xf>
    <xf numFmtId="0" fontId="3" fillId="3" borderId="0" xfId="0" quotePrefix="1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5" fillId="5" borderId="0" xfId="1" applyFont="1" applyFill="1" applyBorder="1" applyAlignment="1">
      <alignment horizontal="left" vertical="center"/>
    </xf>
    <xf numFmtId="49" fontId="4" fillId="5" borderId="0" xfId="0" quotePrefix="1" applyNumberFormat="1" applyFont="1" applyFill="1" applyAlignment="1">
      <alignment horizontal="left" vertical="center" wrapText="1" shrinkToFit="1"/>
    </xf>
    <xf numFmtId="49" fontId="4" fillId="5" borderId="0" xfId="0" applyNumberFormat="1" applyFont="1" applyFill="1" applyAlignment="1">
      <alignment horizontal="left" vertical="center" wrapText="1" shrinkToFit="1"/>
    </xf>
    <xf numFmtId="44" fontId="0" fillId="0" borderId="0" xfId="3" applyFont="1"/>
    <xf numFmtId="14" fontId="0" fillId="0" borderId="0" xfId="0" applyNumberFormat="1"/>
    <xf numFmtId="164" fontId="0" fillId="0" borderId="0" xfId="0" applyNumberFormat="1"/>
    <xf numFmtId="0" fontId="3" fillId="0" borderId="0" xfId="0" quotePrefix="1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8" fillId="6" borderId="0" xfId="0" applyFont="1" applyFill="1"/>
    <xf numFmtId="0" fontId="3" fillId="6" borderId="0" xfId="0" applyFont="1" applyFill="1" applyAlignment="1">
      <alignment vertical="center"/>
    </xf>
    <xf numFmtId="0" fontId="3" fillId="0" borderId="0" xfId="0" quotePrefix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1" fillId="0" borderId="0" xfId="0" quotePrefix="1" applyFont="1"/>
    <xf numFmtId="0" fontId="5" fillId="0" borderId="0" xfId="0" quotePrefix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11" fillId="0" borderId="0" xfId="0" applyFont="1" applyAlignment="1">
      <alignment vertical="center"/>
    </xf>
    <xf numFmtId="0" fontId="3" fillId="0" borderId="0" xfId="0" quotePrefix="1" applyFont="1"/>
    <xf numFmtId="0" fontId="3" fillId="0" borderId="0" xfId="1" applyFont="1" applyFill="1" applyBorder="1" applyAlignment="1">
      <alignment horizontal="left" vertical="center"/>
    </xf>
    <xf numFmtId="0" fontId="3" fillId="0" borderId="0" xfId="1" quotePrefix="1" applyFont="1" applyFill="1" applyBorder="1" applyAlignment="1">
      <alignment horizontal="left" vertical="center"/>
    </xf>
    <xf numFmtId="49" fontId="3" fillId="0" borderId="0" xfId="0" quotePrefix="1" applyNumberFormat="1" applyFont="1" applyAlignment="1">
      <alignment horizontal="left" vertical="center" wrapText="1" shrinkToFit="1"/>
    </xf>
    <xf numFmtId="49" fontId="3" fillId="0" borderId="0" xfId="0" applyNumberFormat="1" applyFont="1" applyAlignment="1">
      <alignment horizontal="left" vertical="center" wrapText="1" shrinkToFit="1"/>
    </xf>
    <xf numFmtId="0" fontId="3" fillId="0" borderId="0" xfId="0" quotePrefix="1" applyFont="1" applyAlignment="1">
      <alignment horizontal="left" vertical="center" wrapText="1"/>
    </xf>
    <xf numFmtId="0" fontId="3" fillId="0" borderId="0" xfId="2" quotePrefix="1" applyFont="1" applyFill="1" applyBorder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top" wrapText="1"/>
    </xf>
    <xf numFmtId="0" fontId="3" fillId="0" borderId="0" xfId="0" quotePrefix="1" applyFont="1" applyAlignment="1">
      <alignment horizontal="left" wrapText="1"/>
    </xf>
    <xf numFmtId="0" fontId="3" fillId="0" borderId="0" xfId="0" quotePrefix="1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13" xfId="0" applyFont="1" applyBorder="1" applyAlignment="1">
      <alignment vertical="center"/>
    </xf>
    <xf numFmtId="0" fontId="3" fillId="5" borderId="0" xfId="0" applyFont="1" applyFill="1"/>
    <xf numFmtId="0" fontId="3" fillId="0" borderId="0" xfId="0" quotePrefix="1" applyFont="1" applyAlignment="1">
      <alignment wrapText="1"/>
    </xf>
    <xf numFmtId="0" fontId="3" fillId="5" borderId="0" xfId="0" quotePrefix="1" applyFont="1" applyFill="1" applyAlignment="1">
      <alignment vertical="center"/>
    </xf>
    <xf numFmtId="0" fontId="3" fillId="7" borderId="0" xfId="0" quotePrefix="1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/>
    <xf numFmtId="0" fontId="10" fillId="7" borderId="0" xfId="0" quotePrefix="1" applyFont="1" applyFill="1"/>
    <xf numFmtId="14" fontId="3" fillId="7" borderId="0" xfId="0" quotePrefix="1" applyNumberFormat="1" applyFont="1" applyFill="1" applyAlignment="1">
      <alignment horizontal="left" vertical="center"/>
    </xf>
    <xf numFmtId="0" fontId="3" fillId="8" borderId="0" xfId="0" quotePrefix="1" applyFont="1" applyFill="1"/>
    <xf numFmtId="0" fontId="3" fillId="8" borderId="0" xfId="0" applyFont="1" applyFill="1"/>
    <xf numFmtId="0" fontId="3" fillId="5" borderId="0" xfId="0" quotePrefix="1" applyFont="1" applyFill="1"/>
    <xf numFmtId="0" fontId="3" fillId="9" borderId="0" xfId="0" quotePrefix="1" applyFont="1" applyFill="1" applyAlignment="1">
      <alignment horizontal="left" vertical="center"/>
    </xf>
    <xf numFmtId="0" fontId="3" fillId="9" borderId="0" xfId="0" applyFont="1" applyFill="1" applyAlignment="1">
      <alignment vertical="center"/>
    </xf>
    <xf numFmtId="0" fontId="3" fillId="9" borderId="0" xfId="0" applyFont="1" applyFill="1" applyAlignment="1">
      <alignment horizontal="left" vertical="center"/>
    </xf>
    <xf numFmtId="14" fontId="3" fillId="9" borderId="0" xfId="0" applyNumberFormat="1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0" borderId="0" xfId="0" applyFont="1" applyFill="1"/>
    <xf numFmtId="49" fontId="3" fillId="10" borderId="0" xfId="0" applyNumberFormat="1" applyFont="1" applyFill="1" applyAlignment="1">
      <alignment horizontal="left" vertical="center" wrapText="1" shrinkToFit="1"/>
    </xf>
    <xf numFmtId="0" fontId="3" fillId="10" borderId="0" xfId="0" quotePrefix="1" applyFont="1" applyFill="1" applyAlignment="1">
      <alignment horizontal="left" vertical="center"/>
    </xf>
    <xf numFmtId="0" fontId="3" fillId="10" borderId="0" xfId="0" applyFont="1" applyFill="1" applyAlignment="1">
      <alignment vertical="center"/>
    </xf>
    <xf numFmtId="0" fontId="3" fillId="5" borderId="0" xfId="1" applyFont="1" applyFill="1" applyBorder="1" applyAlignment="1">
      <alignment horizontal="left" vertical="center"/>
    </xf>
    <xf numFmtId="0" fontId="3" fillId="11" borderId="0" xfId="1" applyFont="1" applyFill="1" applyBorder="1" applyAlignment="1">
      <alignment horizontal="left" vertical="center"/>
    </xf>
    <xf numFmtId="0" fontId="3" fillId="10" borderId="0" xfId="1" applyFont="1" applyFill="1" applyBorder="1" applyAlignment="1">
      <alignment horizontal="left" vertical="center"/>
    </xf>
    <xf numFmtId="0" fontId="3" fillId="10" borderId="0" xfId="1" quotePrefix="1" applyFont="1" applyFill="1" applyBorder="1" applyAlignment="1">
      <alignment horizontal="left" vertical="center"/>
    </xf>
    <xf numFmtId="0" fontId="3" fillId="10" borderId="0" xfId="0" quotePrefix="1" applyFont="1" applyFill="1"/>
    <xf numFmtId="49" fontId="3" fillId="10" borderId="0" xfId="0" quotePrefix="1" applyNumberFormat="1" applyFont="1" applyFill="1" applyAlignment="1">
      <alignment horizontal="left" vertical="center" wrapText="1" shrinkToFit="1"/>
    </xf>
    <xf numFmtId="0" fontId="3" fillId="11" borderId="0" xfId="2" applyFont="1" applyFill="1" applyBorder="1" applyAlignment="1">
      <alignment horizontal="left" vertical="center"/>
    </xf>
    <xf numFmtId="0" fontId="3" fillId="5" borderId="0" xfId="1" quotePrefix="1" applyFont="1" applyFill="1" applyBorder="1" applyAlignment="1">
      <alignment horizontal="left" vertical="center"/>
    </xf>
    <xf numFmtId="0" fontId="3" fillId="10" borderId="0" xfId="0" quotePrefix="1" applyFont="1" applyFill="1" applyAlignment="1">
      <alignment vertical="center"/>
    </xf>
  </cellXfs>
  <cellStyles count="4">
    <cellStyle name="Moneda" xfId="3" builtinId="4"/>
    <cellStyle name="Normal" xfId="0" builtinId="0"/>
    <cellStyle name="Normal 2" xfId="1" xr:uid="{C3A772F2-CF4C-4253-BDF1-E1B41D794C17}"/>
    <cellStyle name="Texto de advertencia" xfId="2" builtinId="11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horizontal style="thin">
          <color theme="4" tint="0.39997558519241921"/>
        </horizontal>
      </border>
    </dxf>
  </dxfs>
  <tableStyles count="1" defaultTableStyle="TableStyleMedium2" defaultPivotStyle="PivotStyleLight16">
    <tableStyle name="TableStyleMedium2 2" pivot="0" count="7" xr9:uid="{5E3CAA18-7631-4626-8C7E-02D3855B4172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SupportingPropertyBagStructure" Target="richData/rdsupportingpropertybagstructure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17/06/relationships/richStyles" Target="richData/richStyl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17/06/relationships/rdRichValueStructure" Target="richData/rdrichvaluestructure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[LineasKlifnetPro_2023.xlsx]Sugerencia1!Tabla 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"Plataforma": </a:t>
            </a:r>
            <a:r>
              <a:rPr lang="en-US">
                <a:solidFill>
                  <a:srgbClr val="DD5A13"/>
                </a:solidFill>
              </a:rPr>
              <a:t>Wialon</a:t>
            </a:r>
            <a:r>
              <a:rPr lang="en-US"/>
              <a:t> representa la mayoría de la sección "interno".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Sugerencia1!$B$2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C3-4187-8EA5-1EC123D1D7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C3-4187-8EA5-1EC123D1D7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C3-4187-8EA5-1EC123D1D7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C3-4187-8EA5-1EC123D1D7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C3-4187-8EA5-1EC123D1D74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C3-4187-8EA5-1EC123D1D74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1C3-4187-8EA5-1EC123D1D74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1C3-4187-8EA5-1EC123D1D740}"/>
              </c:ext>
            </c:extLst>
          </c:dPt>
          <c:cat>
            <c:strRef>
              <c:f>Sugerencia1!$A$3:$A$11</c:f>
              <c:strCache>
                <c:ptCount val="8"/>
                <c:pt idx="0">
                  <c:v>Cancelar</c:v>
                </c:pt>
                <c:pt idx="1">
                  <c:v>Corporativo</c:v>
                </c:pt>
                <c:pt idx="2">
                  <c:v>Disponible</c:v>
                </c:pt>
                <c:pt idx="3">
                  <c:v>IMovit</c:v>
                </c:pt>
                <c:pt idx="4">
                  <c:v>TrackSolid</c:v>
                </c:pt>
                <c:pt idx="5">
                  <c:v>Ventas IOT</c:v>
                </c:pt>
                <c:pt idx="6">
                  <c:v>Wialon</c:v>
                </c:pt>
                <c:pt idx="7">
                  <c:v>(en blanco)</c:v>
                </c:pt>
              </c:strCache>
            </c:strRef>
          </c:cat>
          <c:val>
            <c:numRef>
              <c:f>Sugerencia1!$B$3:$B$11</c:f>
              <c:numCache>
                <c:formatCode>General</c:formatCode>
                <c:ptCount val="8"/>
                <c:pt idx="0">
                  <c:v>7</c:v>
                </c:pt>
                <c:pt idx="1">
                  <c:v>3</c:v>
                </c:pt>
                <c:pt idx="3">
                  <c:v>8</c:v>
                </c:pt>
                <c:pt idx="4">
                  <c:v>25</c:v>
                </c:pt>
                <c:pt idx="5">
                  <c:v>18</c:v>
                </c:pt>
                <c:pt idx="6">
                  <c:v>417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28-4550-93FE-6F6F63D4D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[LineasKlifnetPro_2023.xlsx]Sugerencia2!Tabla 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"Proveedor": </a:t>
            </a:r>
            <a:r>
              <a:rPr lang="en-US">
                <a:solidFill>
                  <a:srgbClr val="DD5A13"/>
                </a:solidFill>
              </a:rPr>
              <a:t>02 Emnify</a:t>
            </a:r>
            <a:r>
              <a:rPr lang="en-US"/>
              <a:t> representa la mayoría de la sección "interno".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Sugerencia2!$B$2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05E-406A-87B6-B5361C6C03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94-4A6D-873B-D811C6670A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94-4A6D-873B-D811C6670A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94-4A6D-873B-D811C6670A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94-4A6D-873B-D811C6670A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94-4A6D-873B-D811C6670A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94-4A6D-873B-D811C6670A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E94-4A6D-873B-D811C6670A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E94-4A6D-873B-D811C6670A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E94-4A6D-873B-D811C6670A6F}"/>
              </c:ext>
            </c:extLst>
          </c:dPt>
          <c:cat>
            <c:strRef>
              <c:f>Sugerencia2!$A$3:$A$13</c:f>
              <c:strCache>
                <c:ptCount val="10"/>
                <c:pt idx="0">
                  <c:v>01 Emprenet</c:v>
                </c:pt>
                <c:pt idx="1">
                  <c:v>02 Emnify</c:v>
                </c:pt>
                <c:pt idx="2">
                  <c:v>03 GlobalSat</c:v>
                </c:pt>
                <c:pt idx="3">
                  <c:v>04 Telcel</c:v>
                </c:pt>
                <c:pt idx="4">
                  <c:v>05 WeMobile</c:v>
                </c:pt>
                <c:pt idx="5">
                  <c:v>06 M2MExpress</c:v>
                </c:pt>
                <c:pt idx="6">
                  <c:v>07 TelcelPrep</c:v>
                </c:pt>
                <c:pt idx="7">
                  <c:v>08 BajaWemobile</c:v>
                </c:pt>
                <c:pt idx="8">
                  <c:v>09 Telcel Bajas</c:v>
                </c:pt>
                <c:pt idx="9">
                  <c:v>10 Propios</c:v>
                </c:pt>
              </c:strCache>
            </c:strRef>
          </c:cat>
          <c:val>
            <c:numRef>
              <c:f>Sugerencia2!$B$3:$B$13</c:f>
              <c:numCache>
                <c:formatCode>General</c:formatCode>
                <c:ptCount val="10"/>
                <c:pt idx="0">
                  <c:v>176</c:v>
                </c:pt>
                <c:pt idx="1">
                  <c:v>188</c:v>
                </c:pt>
                <c:pt idx="2">
                  <c:v>1</c:v>
                </c:pt>
                <c:pt idx="3">
                  <c:v>35</c:v>
                </c:pt>
                <c:pt idx="4">
                  <c:v>36</c:v>
                </c:pt>
                <c:pt idx="5">
                  <c:v>1</c:v>
                </c:pt>
                <c:pt idx="6">
                  <c:v>15</c:v>
                </c:pt>
                <c:pt idx="7">
                  <c:v>7</c:v>
                </c:pt>
                <c:pt idx="8">
                  <c:v>1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E-406A-87B6-B5361C6C0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[LineasKlifnetPro_2023.xlsx]Sugerencia3!Tabla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"Equipos": </a:t>
            </a:r>
            <a:r>
              <a:rPr lang="en-US">
                <a:solidFill>
                  <a:srgbClr val="DD5A13"/>
                </a:solidFill>
              </a:rPr>
              <a:t>Suntech ST4310</a:t>
            </a:r>
            <a:r>
              <a:rPr lang="en-US"/>
              <a:t> tiene un valor de "interno"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Sugerencia3!$B$2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Sugerencia3!$A$3:$A$46</c:f>
              <c:strCache>
                <c:ptCount val="43"/>
                <c:pt idx="0">
                  <c:v>Cellocator CR200</c:v>
                </c:pt>
                <c:pt idx="1">
                  <c:v>Cellocator CR300</c:v>
                </c:pt>
                <c:pt idx="2">
                  <c:v>Concox AT4</c:v>
                </c:pt>
                <c:pt idx="3">
                  <c:v>Concox AT6</c:v>
                </c:pt>
                <c:pt idx="4">
                  <c:v>Concox GT06E</c:v>
                </c:pt>
                <c:pt idx="5">
                  <c:v>Concox GT06N</c:v>
                </c:pt>
                <c:pt idx="6">
                  <c:v>Concox Q2</c:v>
                </c:pt>
                <c:pt idx="7">
                  <c:v>Concox R83</c:v>
                </c:pt>
                <c:pt idx="8">
                  <c:v>Concox WeTrack lite (GV25)</c:v>
                </c:pt>
                <c:pt idx="9">
                  <c:v>Concox Wetrack2</c:v>
                </c:pt>
                <c:pt idx="10">
                  <c:v>ConcoxGT06E</c:v>
                </c:pt>
                <c:pt idx="11">
                  <c:v>Globalstar SmartOne</c:v>
                </c:pt>
                <c:pt idx="12">
                  <c:v>Iphone 12</c:v>
                </c:pt>
                <c:pt idx="13">
                  <c:v>Iphone XR</c:v>
                </c:pt>
                <c:pt idx="14">
                  <c:v>LMU-2700 Series</c:v>
                </c:pt>
                <c:pt idx="15">
                  <c:v>LMU-700 Series</c:v>
                </c:pt>
                <c:pt idx="16">
                  <c:v>Queclink GL300</c:v>
                </c:pt>
                <c:pt idx="17">
                  <c:v>Queclink GV300</c:v>
                </c:pt>
                <c:pt idx="18">
                  <c:v>Queclink GV500</c:v>
                </c:pt>
                <c:pt idx="19">
                  <c:v>Queclink GV55</c:v>
                </c:pt>
                <c:pt idx="20">
                  <c:v>Queclink GV75</c:v>
                </c:pt>
                <c:pt idx="21">
                  <c:v>Ruptela Eco4Ligth</c:v>
                </c:pt>
                <c:pt idx="22">
                  <c:v>Ruptela FM Eco4 Light</c:v>
                </c:pt>
                <c:pt idx="23">
                  <c:v>Ruptela FM Eco4 light T series</c:v>
                </c:pt>
                <c:pt idx="24">
                  <c:v>Ruptela HCV</c:v>
                </c:pt>
                <c:pt idx="25">
                  <c:v>Ruptela PRo4</c:v>
                </c:pt>
                <c:pt idx="26">
                  <c:v>Ruptrla Trace5 NA</c:v>
                </c:pt>
                <c:pt idx="27">
                  <c:v>SinEquipo</c:v>
                </c:pt>
                <c:pt idx="28">
                  <c:v>Streamax X3-H0402</c:v>
                </c:pt>
                <c:pt idx="29">
                  <c:v>Suntech IMovit</c:v>
                </c:pt>
                <c:pt idx="30">
                  <c:v>Suntech ST300R</c:v>
                </c:pt>
                <c:pt idx="31">
                  <c:v>Suntech ST3300</c:v>
                </c:pt>
                <c:pt idx="32">
                  <c:v>Suntech ST3940</c:v>
                </c:pt>
                <c:pt idx="33">
                  <c:v>Suntech ST4300</c:v>
                </c:pt>
                <c:pt idx="34">
                  <c:v>Suntech ST4310</c:v>
                </c:pt>
                <c:pt idx="35">
                  <c:v>Suntech ST4315</c:v>
                </c:pt>
                <c:pt idx="36">
                  <c:v>Suntech ST4340</c:v>
                </c:pt>
                <c:pt idx="37">
                  <c:v>Suntech ST4340LC</c:v>
                </c:pt>
                <c:pt idx="38">
                  <c:v>Suntech ST600R</c:v>
                </c:pt>
                <c:pt idx="39">
                  <c:v>Suntech ST600-UP</c:v>
                </c:pt>
                <c:pt idx="40">
                  <c:v>Teltonika FMB920</c:v>
                </c:pt>
                <c:pt idx="41">
                  <c:v>Topflytech T8608D</c:v>
                </c:pt>
                <c:pt idx="42">
                  <c:v>(en blanco)</c:v>
                </c:pt>
              </c:strCache>
            </c:strRef>
          </c:cat>
          <c:val>
            <c:numRef>
              <c:f>Sugerencia3!$B$3:$B$46</c:f>
              <c:numCache>
                <c:formatCode>General</c:formatCod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13</c:v>
                </c:pt>
                <c:pt idx="4">
                  <c:v>4</c:v>
                </c:pt>
                <c:pt idx="5">
                  <c:v>11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6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10</c:v>
                </c:pt>
                <c:pt idx="16">
                  <c:v>1</c:v>
                </c:pt>
                <c:pt idx="17">
                  <c:v>12</c:v>
                </c:pt>
                <c:pt idx="18">
                  <c:v>1</c:v>
                </c:pt>
                <c:pt idx="19">
                  <c:v>40</c:v>
                </c:pt>
                <c:pt idx="20">
                  <c:v>5</c:v>
                </c:pt>
                <c:pt idx="21">
                  <c:v>1</c:v>
                </c:pt>
                <c:pt idx="22">
                  <c:v>22</c:v>
                </c:pt>
                <c:pt idx="23">
                  <c:v>42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18</c:v>
                </c:pt>
                <c:pt idx="28">
                  <c:v>3</c:v>
                </c:pt>
                <c:pt idx="29">
                  <c:v>3</c:v>
                </c:pt>
                <c:pt idx="30">
                  <c:v>52</c:v>
                </c:pt>
                <c:pt idx="31">
                  <c:v>1</c:v>
                </c:pt>
                <c:pt idx="32">
                  <c:v>1</c:v>
                </c:pt>
                <c:pt idx="33">
                  <c:v>32</c:v>
                </c:pt>
                <c:pt idx="34">
                  <c:v>139</c:v>
                </c:pt>
                <c:pt idx="35">
                  <c:v>3</c:v>
                </c:pt>
                <c:pt idx="36">
                  <c:v>2</c:v>
                </c:pt>
                <c:pt idx="37">
                  <c:v>14</c:v>
                </c:pt>
                <c:pt idx="38">
                  <c:v>14</c:v>
                </c:pt>
                <c:pt idx="39">
                  <c:v>4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9D-424B-8D69-3E570565A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272130543"/>
        <c:axId val="1272129295"/>
      </c:barChart>
      <c:catAx>
        <c:axId val="127213054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Equipos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72129295"/>
        <c:crosses val="autoZero"/>
        <c:auto val="1"/>
        <c:lblAlgn val="ctr"/>
        <c:lblOffset val="100"/>
        <c:noMultiLvlLbl val="0"/>
      </c:catAx>
      <c:valAx>
        <c:axId val="127212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7213054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[LineasKlifnetPro_2023.xlsx]Sugerencia4!Tabla 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"Equipos": </a:t>
            </a:r>
            <a:r>
              <a:rPr lang="en-US">
                <a:solidFill>
                  <a:srgbClr val="DD5A13"/>
                </a:solidFill>
              </a:rPr>
              <a:t>Suntech ST4310</a:t>
            </a:r>
            <a:r>
              <a:rPr lang="en-US"/>
              <a:t> tiene un valor de "interno"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Sugerencia4!$B$2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Sugerencia4!$A$3:$A$86</c:f>
              <c:strCache>
                <c:ptCount val="83"/>
                <c:pt idx="0">
                  <c:v>ADRIAN JESUS MUNOZ</c:v>
                </c:pt>
                <c:pt idx="1">
                  <c:v>AgricolaCharay</c:v>
                </c:pt>
                <c:pt idx="2">
                  <c:v>AGSonorg</c:v>
                </c:pt>
                <c:pt idx="3">
                  <c:v>AUPANohme</c:v>
                </c:pt>
                <c:pt idx="4">
                  <c:v>Austin_Explosivos</c:v>
                </c:pt>
                <c:pt idx="5">
                  <c:v>Austin_GDL</c:v>
                </c:pt>
                <c:pt idx="6">
                  <c:v>AustinTorreon</c:v>
                </c:pt>
                <c:pt idx="7">
                  <c:v>AyuntamientoHillo</c:v>
                </c:pt>
                <c:pt idx="8">
                  <c:v>baja</c:v>
                </c:pt>
                <c:pt idx="9">
                  <c:v>Bernardo</c:v>
                </c:pt>
                <c:pt idx="10">
                  <c:v>CenMex</c:v>
                </c:pt>
                <c:pt idx="11">
                  <c:v>CiriloOrtega</c:v>
                </c:pt>
                <c:pt idx="12">
                  <c:v>ComAutomotriz</c:v>
                </c:pt>
                <c:pt idx="13">
                  <c:v>CorpAricar</c:v>
                </c:pt>
                <c:pt idx="14">
                  <c:v>CYNERI</c:v>
                </c:pt>
                <c:pt idx="15">
                  <c:v>Debra Jabeth Esparza Noriega</c:v>
                </c:pt>
                <c:pt idx="16">
                  <c:v>Dist_Premio</c:v>
                </c:pt>
                <c:pt idx="17">
                  <c:v>Dmeneses</c:v>
                </c:pt>
                <c:pt idx="18">
                  <c:v>E_Migliore</c:v>
                </c:pt>
                <c:pt idx="19">
                  <c:v>EdificacionBR</c:v>
                </c:pt>
                <c:pt idx="20">
                  <c:v>ElMundoGto</c:v>
                </c:pt>
                <c:pt idx="21">
                  <c:v>Elsa Lilia Zuñiga Santoyo</c:v>
                </c:pt>
                <c:pt idx="22">
                  <c:v>EntregasOO</c:v>
                </c:pt>
                <c:pt idx="23">
                  <c:v>ExamoFS</c:v>
                </c:pt>
                <c:pt idx="24">
                  <c:v>Fauto Navarro</c:v>
                </c:pt>
                <c:pt idx="25">
                  <c:v>GQGLOBAL</c:v>
                </c:pt>
                <c:pt idx="26">
                  <c:v>GRFinancial</c:v>
                </c:pt>
                <c:pt idx="27">
                  <c:v>Grupo AconcaguaMX</c:v>
                </c:pt>
                <c:pt idx="28">
                  <c:v>GrupoAconcaguaGDL</c:v>
                </c:pt>
                <c:pt idx="29">
                  <c:v>GrupoAconcaguaNorte</c:v>
                </c:pt>
                <c:pt idx="30">
                  <c:v>I_Mercurio</c:v>
                </c:pt>
                <c:pt idx="31">
                  <c:v>IDAsesoria</c:v>
                </c:pt>
                <c:pt idx="32">
                  <c:v>IMDurango</c:v>
                </c:pt>
                <c:pt idx="33">
                  <c:v>IMI Durango</c:v>
                </c:pt>
                <c:pt idx="34">
                  <c:v>ISASA</c:v>
                </c:pt>
                <c:pt idx="35">
                  <c:v>JavierVazquez</c:v>
                </c:pt>
                <c:pt idx="36">
                  <c:v>Jose Mundo Alvarez Ortiz</c:v>
                </c:pt>
                <c:pt idx="37">
                  <c:v>JoseHUrias</c:v>
                </c:pt>
                <c:pt idx="38">
                  <c:v>JoseLBurlong</c:v>
                </c:pt>
                <c:pt idx="39">
                  <c:v>Juan Torres</c:v>
                </c:pt>
                <c:pt idx="40">
                  <c:v>Klifnet</c:v>
                </c:pt>
                <c:pt idx="41">
                  <c:v>KlifnetDemo</c:v>
                </c:pt>
                <c:pt idx="42">
                  <c:v>Kormex</c:v>
                </c:pt>
                <c:pt idx="43">
                  <c:v>LMarquez</c:v>
                </c:pt>
                <c:pt idx="44">
                  <c:v>LogisticaMars</c:v>
                </c:pt>
                <c:pt idx="45">
                  <c:v>Logyca</c:v>
                </c:pt>
                <c:pt idx="46">
                  <c:v>Mario Vazquez Gurierrez</c:v>
                </c:pt>
                <c:pt idx="47">
                  <c:v>Masame</c:v>
                </c:pt>
                <c:pt idx="48">
                  <c:v>Mesagrama</c:v>
                </c:pt>
                <c:pt idx="49">
                  <c:v>MexicanaEnvases</c:v>
                </c:pt>
                <c:pt idx="50">
                  <c:v>MuebleriaBazar</c:v>
                </c:pt>
                <c:pt idx="51">
                  <c:v>MutualidadMinerva</c:v>
                </c:pt>
                <c:pt idx="52">
                  <c:v>Nicolas Medina Romo</c:v>
                </c:pt>
                <c:pt idx="53">
                  <c:v>Pitic Hermosillo</c:v>
                </c:pt>
                <c:pt idx="54">
                  <c:v>Plasticos_VPSA</c:v>
                </c:pt>
                <c:pt idx="55">
                  <c:v>Pymafi</c:v>
                </c:pt>
                <c:pt idx="56">
                  <c:v>RecicladoraColima</c:v>
                </c:pt>
                <c:pt idx="57">
                  <c:v>RemolqueDel</c:v>
                </c:pt>
                <c:pt idx="58">
                  <c:v>RicoOchoa</c:v>
                </c:pt>
                <c:pt idx="59">
                  <c:v>Rosina Rios</c:v>
                </c:pt>
                <c:pt idx="60">
                  <c:v>SandraDennisse</c:v>
                </c:pt>
                <c:pt idx="61">
                  <c:v>Security1</c:v>
                </c:pt>
                <c:pt idx="62">
                  <c:v>Security2</c:v>
                </c:pt>
                <c:pt idx="63">
                  <c:v>Sidney_Explosivos</c:v>
                </c:pt>
                <c:pt idx="64">
                  <c:v>Sidney_GDL</c:v>
                </c:pt>
                <c:pt idx="65">
                  <c:v>Sistelec</c:v>
                </c:pt>
                <c:pt idx="66">
                  <c:v>SOLUCIONES INTGRALES DE TRANSPORTE DIL SA DE CV</c:v>
                </c:pt>
                <c:pt idx="67">
                  <c:v>Tornimaster</c:v>
                </c:pt>
                <c:pt idx="68">
                  <c:v>TornimasterMty</c:v>
                </c:pt>
                <c:pt idx="69">
                  <c:v>TransfDelta</c:v>
                </c:pt>
                <c:pt idx="70">
                  <c:v>TransportesGomo</c:v>
                </c:pt>
                <c:pt idx="71">
                  <c:v>TransportesGonzalez</c:v>
                </c:pt>
                <c:pt idx="72">
                  <c:v>TransportesMS</c:v>
                </c:pt>
                <c:pt idx="73">
                  <c:v>TransportesPerez</c:v>
                </c:pt>
                <c:pt idx="74">
                  <c:v>TransportesSolorio</c:v>
                </c:pt>
                <c:pt idx="75">
                  <c:v>TransportesUno</c:v>
                </c:pt>
                <c:pt idx="76">
                  <c:v>TransportesViveros</c:v>
                </c:pt>
                <c:pt idx="77">
                  <c:v>TrixImportaciones</c:v>
                </c:pt>
                <c:pt idx="78">
                  <c:v>UniversalAzulejos</c:v>
                </c:pt>
                <c:pt idx="79">
                  <c:v>Vika</c:v>
                </c:pt>
                <c:pt idx="80">
                  <c:v>Yamuni</c:v>
                </c:pt>
                <c:pt idx="81">
                  <c:v>Zacaula2</c:v>
                </c:pt>
                <c:pt idx="82">
                  <c:v>(en blanco)</c:v>
                </c:pt>
              </c:strCache>
            </c:strRef>
          </c:cat>
          <c:val>
            <c:numRef>
              <c:f>Sugerencia4!$B$3:$B$86</c:f>
              <c:numCache>
                <c:formatCode>General</c:formatCode>
                <c:ptCount val="83"/>
                <c:pt idx="0">
                  <c:v>2</c:v>
                </c:pt>
                <c:pt idx="1">
                  <c:v>1</c:v>
                </c:pt>
                <c:pt idx="2">
                  <c:v>18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31</c:v>
                </c:pt>
                <c:pt idx="7">
                  <c:v>1</c:v>
                </c:pt>
                <c:pt idx="8">
                  <c:v>8</c:v>
                </c:pt>
                <c:pt idx="9">
                  <c:v>18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1</c:v>
                </c:pt>
                <c:pt idx="18">
                  <c:v>7</c:v>
                </c:pt>
                <c:pt idx="19">
                  <c:v>4</c:v>
                </c:pt>
                <c:pt idx="20">
                  <c:v>2</c:v>
                </c:pt>
                <c:pt idx="21">
                  <c:v>8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5</c:v>
                </c:pt>
                <c:pt idx="27">
                  <c:v>2</c:v>
                </c:pt>
                <c:pt idx="28">
                  <c:v>17</c:v>
                </c:pt>
                <c:pt idx="29">
                  <c:v>6</c:v>
                </c:pt>
                <c:pt idx="30">
                  <c:v>1</c:v>
                </c:pt>
                <c:pt idx="31">
                  <c:v>12</c:v>
                </c:pt>
                <c:pt idx="32">
                  <c:v>3</c:v>
                </c:pt>
                <c:pt idx="33">
                  <c:v>49</c:v>
                </c:pt>
                <c:pt idx="34">
                  <c:v>6</c:v>
                </c:pt>
                <c:pt idx="35">
                  <c:v>1</c:v>
                </c:pt>
                <c:pt idx="36">
                  <c:v>5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6</c:v>
                </c:pt>
                <c:pt idx="42">
                  <c:v>11</c:v>
                </c:pt>
                <c:pt idx="43">
                  <c:v>3</c:v>
                </c:pt>
                <c:pt idx="44">
                  <c:v>1</c:v>
                </c:pt>
                <c:pt idx="45">
                  <c:v>7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4</c:v>
                </c:pt>
                <c:pt idx="50">
                  <c:v>3</c:v>
                </c:pt>
                <c:pt idx="51">
                  <c:v>14</c:v>
                </c:pt>
                <c:pt idx="52">
                  <c:v>4</c:v>
                </c:pt>
                <c:pt idx="53">
                  <c:v>26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7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8</c:v>
                </c:pt>
                <c:pt idx="64">
                  <c:v>22</c:v>
                </c:pt>
                <c:pt idx="65">
                  <c:v>21</c:v>
                </c:pt>
                <c:pt idx="66">
                  <c:v>1</c:v>
                </c:pt>
                <c:pt idx="67">
                  <c:v>18</c:v>
                </c:pt>
                <c:pt idx="68">
                  <c:v>9</c:v>
                </c:pt>
                <c:pt idx="69">
                  <c:v>1</c:v>
                </c:pt>
                <c:pt idx="70">
                  <c:v>3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4</c:v>
                </c:pt>
                <c:pt idx="76">
                  <c:v>1</c:v>
                </c:pt>
                <c:pt idx="77">
                  <c:v>7</c:v>
                </c:pt>
                <c:pt idx="78">
                  <c:v>1</c:v>
                </c:pt>
                <c:pt idx="79">
                  <c:v>5</c:v>
                </c:pt>
                <c:pt idx="80">
                  <c:v>3</c:v>
                </c:pt>
                <c:pt idx="8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49-4D32-930D-1A695B723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47674207"/>
        <c:axId val="1447674623"/>
      </c:barChart>
      <c:catAx>
        <c:axId val="144767420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Equipos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7674623"/>
        <c:crosses val="autoZero"/>
        <c:auto val="1"/>
        <c:lblAlgn val="ctr"/>
        <c:lblOffset val="100"/>
        <c:noMultiLvlLbl val="0"/>
      </c:catAx>
      <c:valAx>
        <c:axId val="144767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767420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23281</xdr:colOff>
      <xdr:row>1</xdr:row>
      <xdr:rowOff>63500</xdr:rowOff>
    </xdr:from>
    <xdr:to>
      <xdr:col>8</xdr:col>
      <xdr:colOff>137583</xdr:colOff>
      <xdr:row>4</xdr:row>
      <xdr:rowOff>169334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Proveedor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e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81" y="275167"/>
              <a:ext cx="9395885" cy="740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952500</xdr:colOff>
      <xdr:row>1</xdr:row>
      <xdr:rowOff>95250</xdr:rowOff>
    </xdr:from>
    <xdr:to>
      <xdr:col>15</xdr:col>
      <xdr:colOff>52916</xdr:colOff>
      <xdr:row>4</xdr:row>
      <xdr:rowOff>158749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lataforma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aform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4083" y="306917"/>
              <a:ext cx="7027333" cy="698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1</xdr:row>
      <xdr:rowOff>63500</xdr:rowOff>
    </xdr:from>
    <xdr:to>
      <xdr:col>8</xdr:col>
      <xdr:colOff>114302</xdr:colOff>
      <xdr:row>4</xdr:row>
      <xdr:rowOff>169334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Proveedor 1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e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3050"/>
              <a:ext cx="9382127" cy="7344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698500</xdr:colOff>
          <xdr:row>12</xdr:row>
          <xdr:rowOff>114300</xdr:rowOff>
        </xdr:from>
        <xdr:to>
          <xdr:col>4</xdr:col>
          <xdr:colOff>914400</xdr:colOff>
          <xdr:row>16</xdr:row>
          <xdr:rowOff>139700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0</xdr:colOff>
      <xdr:row>15</xdr:row>
      <xdr:rowOff>76200</xdr:rowOff>
    </xdr:to>
    <xdr:graphicFrame macro="">
      <xdr:nvGraphicFramePr>
        <xdr:cNvPr id="2" name="Gráfico 1" descr="Tipo de gráfico: Anillo. &quot;Plataforma&quot;: Wialon representa la mayoría de la sección &quot;interno&quot;.&#10;&#10;Descripción generada automáticament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0</xdr:colOff>
      <xdr:row>15</xdr:row>
      <xdr:rowOff>76200</xdr:rowOff>
    </xdr:to>
    <xdr:graphicFrame macro="">
      <xdr:nvGraphicFramePr>
        <xdr:cNvPr id="2" name="Gráfico 1" descr="Tipo de gráfico: Anillo. &quot;Proveedor&quot;: 02 Emnify representa la mayoría de la sección &quot;interno&quot;.&#10;&#10;Descripción generada automáticament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190499</xdr:rowOff>
    </xdr:from>
    <xdr:to>
      <xdr:col>9</xdr:col>
      <xdr:colOff>0</xdr:colOff>
      <xdr:row>35</xdr:row>
      <xdr:rowOff>9524</xdr:rowOff>
    </xdr:to>
    <xdr:graphicFrame macro="">
      <xdr:nvGraphicFramePr>
        <xdr:cNvPr id="2" name="Gráfico 1" descr="Tipo de gráfico: Barras agrupadas. &quot;Equipos&quot;: Suntech ST4310 tiene un valor de &quot;interno&quot; notablemente superior.&#10;&#10;Descripción generada automáticament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190499</xdr:rowOff>
    </xdr:from>
    <xdr:to>
      <xdr:col>9</xdr:col>
      <xdr:colOff>0</xdr:colOff>
      <xdr:row>73</xdr:row>
      <xdr:rowOff>142875</xdr:rowOff>
    </xdr:to>
    <xdr:graphicFrame macro="">
      <xdr:nvGraphicFramePr>
        <xdr:cNvPr id="2" name="Gráfico 1" descr="Tipo de gráfico: Barras agrupadas. &quot;Equipos&quot;: Suntech ST4310 tiene un valor de &quot;interno&quot; notablemente superior.&#10;&#10;Descripción generada automáticament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4607.715039236115" createdVersion="7" refreshedVersion="7" minRefreshableVersion="3" recordCount="494" xr:uid="{55789F33-96C0-42D3-81F4-2650CCC31469}">
  <cacheSource type="worksheet">
    <worksheetSource name="Tabla3"/>
  </cacheSource>
  <cacheFields count="18">
    <cacheField name="Num" numFmtId="0">
      <sharedItems containsSemiMixedTypes="0" containsString="0" containsNumber="1" containsInteger="1" minValue="1" maxValue="494"/>
    </cacheField>
    <cacheField name="interno" numFmtId="0">
      <sharedItems containsString="0" containsBlank="1" containsNumber="1" containsInteger="1" minValue="1" maxValue="203"/>
    </cacheField>
    <cacheField name="icc" numFmtId="0">
      <sharedItems containsMixedTypes="1" containsNumber="1" containsInteger="1" minValue="3310200444" maxValue="6624459443" count="476">
        <s v="8934071100292767112"/>
        <s v="8934071100292767138"/>
        <s v="8934071100292767146"/>
        <s v="8934071100292767278"/>
        <s v="8934071100292767294"/>
        <s v="8934071100292767443"/>
        <s v="8934071100292797325"/>
        <s v="8934072100260760312"/>
        <s v="8934072100260760577"/>
        <s v="8934072100260760395"/>
        <s v="8934072100260760528"/>
        <s v="8934072100260760429"/>
        <s v="8934072100260760437"/>
        <s v="8934072100260760403"/>
        <s v="8934072100260760338"/>
        <s v="8934072100260760320"/>
        <s v="8934072100260760478"/>
        <s v="8934072100260760221"/>
        <s v="8934072100260760247"/>
        <s v="8934072100260760346"/>
        <s v="8934072100260760197"/>
        <s v="8934072100260760387"/>
        <s v="8934072100260760205"/>
        <s v="8934072100260760304"/>
        <s v="8934072100260760502"/>
        <s v="8934072100260943132"/>
        <s v="8934072100260943249"/>
        <s v="8934072100260946606"/>
        <s v="8934072100260943413"/>
        <s v="8934072100260943405"/>
        <s v="8934072100260943439"/>
        <s v="8934072100260943272"/>
        <s v="8934072100260950673"/>
        <s v="8934072100260950558"/>
        <s v="8934072100260950616"/>
        <s v="8934072100260950566"/>
        <s v="8934072100260950996"/>
        <s v="8934072100260950541"/>
        <s v="8934072100260950814"/>
        <s v="8934072100260950715"/>
        <s v="8934072100260950723"/>
        <s v="8934072100260950756"/>
        <s v="8934072100260950988"/>
        <s v="8934072100260950731"/>
        <s v="8934072100260950749"/>
        <s v="8934072100260950962"/>
        <s v="8934072400005802076"/>
        <s v="8934072400005801888"/>
        <s v="8934072400005801599"/>
        <s v="8934072400005801904"/>
        <s v="8934072400005801870"/>
        <s v="8934072400005802050"/>
        <s v="8934072400005802043"/>
        <s v="8934072400005801920"/>
        <s v="8934072400005802027"/>
        <s v="8934072400005802068"/>
        <s v="8934072400005802035"/>
        <s v="8934076400005103851"/>
        <s v="8934076400005103836"/>
        <s v="8934076400005103760"/>
        <s v="8934076400005103869"/>
        <s v="8934076400005103844"/>
        <s v="8934071400005523954"/>
        <s v="8934075200001756244"/>
        <s v="8934075200001755840"/>
        <s v="8934075200001755824"/>
        <s v="8934075200001755659"/>
        <s v="8934075200001756186"/>
        <s v="8934075200001755691"/>
        <s v="8934075200001755857"/>
        <s v="8934075200001755758"/>
        <s v="8934075200001755816"/>
        <s v="8934075200001755733"/>
        <s v="8934075200001755774"/>
        <s v="8934075200001755808"/>
        <s v="8934076200000587011"/>
        <s v="8934076200000588274"/>
        <s v="8934076200000588308"/>
        <s v="8934076200000587052"/>
        <s v="8934076200000587060"/>
        <s v="8934076200000586765"/>
        <s v="8934076200000586716"/>
        <s v="8934076200000586740"/>
        <s v="8934076200000586724"/>
        <s v="8934076200000588290"/>
        <s v="8934076200000588316"/>
        <s v="8934076200000586682"/>
        <s v="8934076200000586732"/>
        <s v="8934076200000596152"/>
        <s v="8934076200000596186"/>
        <s v="8934076200000596798"/>
        <s v="8934076200000596160"/>
        <s v="8934076200000596095"/>
        <s v="8934076200000595378"/>
        <s v="8934076200000596137"/>
        <s v="8934076200000595311"/>
        <s v="8934076200000596145"/>
        <s v="8934076200000596806"/>
        <s v="8934076200000596772"/>
        <s v="8934076200000596764"/>
        <s v="8934076400005103885"/>
        <s v="8934071400005523962"/>
        <s v="8934076200000609047"/>
        <s v="8934076200000602976"/>
        <s v="8934076200000602984"/>
        <s v="8934076200000609211"/>
        <s v="8934076200000609245"/>
        <s v="8934076200000609252"/>
        <s v="8934076200000609237"/>
        <s v="8934076200000605292"/>
        <s v="8934076200000605300"/>
        <s v="8934076200000611738"/>
        <s v="8934076200000611753"/>
        <s v="8934076200000611746"/>
        <s v="8934076200000611712"/>
        <s v="8934076200000611720"/>
        <s v="8934077200000974978"/>
        <s v="8934077200000974085"/>
        <s v="8934077200000975025"/>
        <s v="8934077200000974986"/>
        <s v="8934077200000973996"/>
        <s v="8934077200000975132"/>
        <s v="8934077200000974044"/>
        <s v="8934077200000974994"/>
        <s v="8934077200000974945"/>
        <s v="8934077200000975009"/>
        <s v="8934077200000974903"/>
        <s v="8934077200000974127"/>
        <s v="8934077200000975041"/>
        <s v="8934077200000973962"/>
        <s v="8934075200004639991"/>
        <s v="8934075200004640007"/>
        <s v="8934075200004640023"/>
        <s v="8934075200004640031"/>
        <s v="8934075200004639421"/>
        <s v="8934075200004639413"/>
        <s v="8934075200004639439"/>
        <s v="8934075200004639447"/>
        <s v="8934075200004639454"/>
        <s v="8934075200004639462"/>
        <s v="8934075200004639470"/>
        <s v="8934075200004639488"/>
        <s v="8934075200004639496"/>
        <s v="8934075200004639504"/>
        <s v="8934075200004700876"/>
        <s v="8934075200004640114"/>
        <s v="8934075200004640122"/>
        <s v="8934071200000906919"/>
        <s v="8934075200004640148"/>
        <s v="8934075200004640155"/>
        <s v="8934075200004640163"/>
        <s v="8934075200004640171"/>
        <s v="8934075200004700884"/>
        <s v="8934076200002526421"/>
        <s v="8934076200002521612"/>
        <s v="8934076200002526439"/>
        <s v="8934076200002526447"/>
        <s v="8934076200002526850"/>
        <s v="8934076200002526991"/>
        <s v="8934076200002527007"/>
        <s v="8934076200002527015"/>
        <s v="8934076200002527486"/>
        <s v="8934076200002528880"/>
        <s v="8934076200002515697"/>
        <s v="8934076200002481320"/>
        <s v="8934076200002482419"/>
        <s v="8934076200002482328"/>
        <s v="8934076200002482427"/>
        <s v="8934076200002482351"/>
        <s v="8934076200002482708"/>
        <s v="8934076200002482740"/>
        <s v="8934076200002482690"/>
        <s v="8934076200002515259"/>
        <s v="8934076200000587003"/>
        <s v="8934076400005103752"/>
        <s v="8934071400005522402"/>
        <s v="8988303000005733714"/>
        <s v="8988303000005733715"/>
        <s v="8988303000005733716"/>
        <s v="8988303000005983703"/>
        <s v="8988303000005983704"/>
        <s v="8988303000005983705"/>
        <s v="8988303000005983706"/>
        <s v="8988303000005983707"/>
        <s v="8988303000005983708"/>
        <s v="8988303000005983709"/>
        <s v="8988303000005983710"/>
        <s v="8988303000005983711"/>
        <s v="8988303000005983712"/>
        <s v="8988303000005983713"/>
        <s v="8988303000005983714"/>
        <s v="8988303000005983715"/>
        <s v="8988303000005983716"/>
        <s v="8988303000005983717"/>
        <s v="8988303000005983718"/>
        <s v="8988303000005983719"/>
        <s v="8988303000005983720"/>
        <s v="8988303000005983721"/>
        <s v="8988303000005983722"/>
        <s v="8988303000005983723"/>
        <s v="8988303000005983724"/>
        <s v="8988303000005983725"/>
        <s v="8988303000005983726"/>
        <s v="8988303000005983727"/>
        <s v="8988303000005986878"/>
        <s v="8988303000005986879"/>
        <s v="8988303000005986880"/>
        <s v="8988303000005986881"/>
        <s v="_x000a_8988303000005986882"/>
        <s v="8988303000005986883"/>
        <s v="_x000a_8988303000005986884"/>
        <s v="8988303000005986885"/>
        <s v="8988303000005986886"/>
        <s v="8988303000005986887"/>
        <s v="_x000a_8988303000005986888"/>
        <s v="8988303000005986889"/>
        <s v="8988303000005986890"/>
        <s v="8988303000005986891"/>
        <s v="8988303000005986892"/>
        <s v="8988303000005986893"/>
        <s v="8988303000005986894"/>
        <s v="8988303000005986895"/>
        <s v="8988303000005986896"/>
        <s v="8988303000005986897"/>
        <s v="8988303000005986898"/>
        <s v="8988303000005986899"/>
        <s v="8988303000005986900"/>
        <s v="_x000a_8988303000005986901"/>
        <s v="8988303000005986902"/>
        <s v="8988303000006249308"/>
        <s v="8988303000006249309"/>
        <s v="8988303000006249310"/>
        <s v="_x000a_8988303000006249311"/>
        <s v="_x000a_8988303000006249312"/>
        <s v="_x000a_8988303000006249313"/>
        <s v="8988303000006249314"/>
        <s v="8988303000006249315"/>
        <s v="8988303000006249316"/>
        <s v="8988303000006249317"/>
        <s v="8988303000006249318"/>
        <s v="_x000a_8988303000006249319"/>
        <s v="_x000a_8988303000006249320"/>
        <s v="_x000a_8988303000006249321"/>
        <s v="_x000a_8988303000006249322"/>
        <s v="8988303000006249323"/>
        <s v="8988303000006249324"/>
        <s v="_x000a_8988303000006249325"/>
        <s v="8988303000006249326"/>
        <s v="8988303000006249327"/>
        <s v="_x000a_8988303000006249328"/>
        <s v="_x000a_8988303000006249329"/>
        <s v="8988303000006249330"/>
        <s v="8988303000006249331"/>
        <s v="8988303000006249332"/>
        <s v="8988303000006249333"/>
        <s v="8988303000006249334"/>
        <s v="8988303000006249335"/>
        <s v="8988303000006249336"/>
        <s v="8988303000006249337"/>
        <s v="8988303000006249338"/>
        <s v="8988303000006249339"/>
        <s v="8988303000006249340"/>
        <s v="8988303000006249341"/>
        <s v="8988303000006249342"/>
        <s v="8988303000006249343"/>
        <s v="8988303000006249344"/>
        <s v="8988303000006249345"/>
        <s v="8988303000006249346"/>
        <s v="8988303000006249347"/>
        <s v="8988303000006249348"/>
        <s v="8988303000006249349"/>
        <s v="8988303000006249350"/>
        <s v="8988303000006249351"/>
        <s v="8988303000006249352"/>
        <s v="8988303000006249353"/>
        <s v="8988303000006249354"/>
        <s v="8988303000006249355"/>
        <s v="8988303000006249356"/>
        <s v="8988303000006249357"/>
        <s v="8988303000006249358"/>
        <s v="8988303000006249359"/>
        <s v="8988303000006249360"/>
        <s v="8988303000006249361"/>
        <s v="8988303000006249362"/>
        <s v="8988303000006249363"/>
        <s v="8988303000006249364"/>
        <s v="8988303000006249365"/>
        <s v="8988303000006249366"/>
        <s v="8988303000006249367"/>
        <s v="8988303000006249368"/>
        <s v="8988303000006249369"/>
        <s v="8988303000006249370"/>
        <s v="8988303000006249371"/>
        <s v="8988303000006249372"/>
        <s v="8988303000006249373"/>
        <s v="8988303000006249374"/>
        <s v="8988303000006249375"/>
        <s v="8988303000006249376"/>
        <s v="8988303000006249377"/>
        <s v="8988303000006249378"/>
        <s v="8988303000006249379"/>
        <s v="8988303000006249380"/>
        <s v="8988303000006249381"/>
        <s v="8988303000006249382"/>
        <s v="8988303000006746798"/>
        <s v="8988303000006746799"/>
        <s v="8988303000006746800"/>
        <s v="8988303000006746801"/>
        <s v="8988303000006746802"/>
        <s v="8988303000006746803"/>
        <s v="8988303000006746804"/>
        <s v="8988303000006746805"/>
        <s v="8988303000006746806"/>
        <s v="8988303000006746807"/>
        <s v="8988303000006746808"/>
        <s v="8988303000006746809"/>
        <s v="8988303000006746810"/>
        <s v="8988303000006746811"/>
        <s v="8988303000006746812"/>
        <s v="8988303000006746813"/>
        <s v="8988303000006746814"/>
        <s v="8988303000006746815"/>
        <s v="8988303000006746816"/>
        <s v="8988303000006746817"/>
        <s v="8988303000006746818"/>
        <s v="8988303000006746819"/>
        <s v="8988303000006746820"/>
        <s v="8988303000006746821"/>
        <s v="8988303000006746822"/>
        <s v="8988303000006746898"/>
        <s v="8988303000006746899"/>
        <s v="8988303000006746900"/>
        <s v="8988303000006746901"/>
        <s v="8988303000006746902"/>
        <s v="8988303000006746903"/>
        <s v="8988303000006746904"/>
        <s v="8988303000006746905"/>
        <s v="8988303000006746906"/>
        <s v="8988303000006746907"/>
        <s v="8988303000006746908"/>
        <s v="8988303000006746909"/>
        <s v="8988303000006746910"/>
        <s v="8988303000006746911"/>
        <s v="8988303000006746912"/>
        <s v="8988303000006746913"/>
        <s v="8988303000006746914"/>
        <s v="8988303000006746915"/>
        <s v="8988303000006746916"/>
        <s v="8988303000006746917"/>
        <s v="8988303000006746918"/>
        <s v="8988303000006746919"/>
        <s v="8988303000006746920"/>
        <s v="8988303000006746921"/>
        <s v="8988303000006746922"/>
        <s v="8988303000006746923"/>
        <s v="8988303000006746924"/>
        <s v="8988303000006746925"/>
        <s v="8988303000006746926"/>
        <s v="8988303000006746927"/>
        <s v="8988303000006746928"/>
        <s v="8988303000006746929"/>
        <s v="8988303000006746930"/>
        <s v="8988303000006746931"/>
        <s v="8988303000006746932"/>
        <s v="8988303000006746933"/>
        <s v="8988303000006746934"/>
        <s v="8988303000006746935"/>
        <s v="8988303000006746936"/>
        <s v="8988303000006746937"/>
        <s v="8988303000006746938"/>
        <s v="8988303000006746939"/>
        <s v="8988303000006746940"/>
        <s v="8988303000006746941"/>
        <s v="8988303000006746942"/>
        <s v="8988303000006746943"/>
        <s v="8988303000006746944"/>
        <s v="8988303000006746945"/>
        <s v="8988303000006746946"/>
        <s v="8988303000006746947"/>
        <s v="0-2677333"/>
        <n v="3310200444"/>
        <n v="3310201931"/>
        <n v="3313332011"/>
        <n v="3316000759"/>
        <n v="3316019756"/>
        <n v="3316021147"/>
        <n v="3316026798"/>
        <n v="3316056794"/>
        <n v="3316056795"/>
        <n v="3331156603"/>
        <n v="3331156615"/>
        <n v="3331156683"/>
        <n v="3331156757"/>
        <n v="3331156783"/>
        <n v="3331156822"/>
        <n v="3331156832"/>
        <n v="3331156883"/>
        <n v="3331157064"/>
        <n v="3331157081"/>
        <n v="3331157108"/>
        <n v="3339558948"/>
        <n v="3339561780"/>
        <n v="3339561883"/>
        <n v="3339682584"/>
        <n v="3339682593"/>
        <n v="3781165092"/>
        <n v="3781165262"/>
        <n v="3781166603"/>
        <n v="3781166711"/>
        <n v="3781166712"/>
        <n v="3781166876"/>
        <n v="3781166877"/>
        <n v="3781166878"/>
        <n v="3781166879"/>
        <n v="3781166901"/>
        <s v="8988303000000851372"/>
        <s v="8988303000000851374"/>
        <s v="8988303000000851227"/>
        <s v="8988303000000851234"/>
        <s v="8988303000000851235"/>
        <s v="8988303000000851283"/>
        <s v="8988303000000851281"/>
        <s v="8988303000000851282"/>
        <s v="8988303000000851285"/>
        <s v="8988303000000851284"/>
        <s v="8988303000000851280"/>
        <s v="8988303000000851287"/>
        <s v="8988303000000851286"/>
        <s v="8988303000000851288"/>
        <s v="8988303000000851368"/>
        <s v="8988303000000851369"/>
        <s v="8988303000000851370"/>
        <s v="8988303000000851371"/>
        <s v="8988303000000851238"/>
        <s v="8988303000000851237"/>
        <s v="8988303000000851236"/>
        <s v="8988303000000851289"/>
        <s v="8988303000000851373"/>
        <s v="8988303000000851375"/>
        <s v="8988303000000851376"/>
        <s v="8988303000000851377"/>
        <s v="8988303000000851226"/>
        <s v="8988303000000851228"/>
        <s v="8988303000000851229"/>
        <s v="8988303000000851230"/>
        <s v="8988303000000851231"/>
        <s v="8988303000000851232"/>
        <s v="8988303000000851233"/>
        <s v="8988303000004956584"/>
        <s v="8988303000004956585"/>
        <s v="8988303000004956586"/>
        <s v="8988303000004956587"/>
        <s v="8988303000004956588"/>
        <s v="8988303000004956589"/>
        <s v="8988303000004956590"/>
        <s v="8988303000004956591"/>
        <s v="8988303000004956592"/>
        <s v="8988303000004956593"/>
        <s v="37257758039"/>
        <n v="3313255752"/>
        <n v="3326354694"/>
        <n v="3329313624"/>
        <n v="3329314018"/>
        <n v="3329718775"/>
        <n v="3331439152"/>
        <n v="3332384008"/>
        <n v="3338225936"/>
        <n v="5578339131"/>
        <n v="3318464426"/>
        <s v="3333156684"/>
        <n v="6624459443"/>
        <s v="3327865383"/>
        <s v="6624055194"/>
        <s v="4461318421"/>
        <n v="3781166710"/>
        <s v="99999999"/>
      </sharedItems>
    </cacheField>
    <cacheField name="msisdn" numFmtId="0">
      <sharedItems containsBlank="1" containsMixedTypes="1" containsNumber="1" containsInteger="1" minValue="3310200444" maxValue="5578339131"/>
    </cacheField>
    <cacheField name="imei" numFmtId="0">
      <sharedItems containsBlank="1" containsMixedTypes="1" containsNumber="1" containsInteger="1" minValue="205475422" maxValue="205475422"/>
    </cacheField>
    <cacheField name="Nombre" numFmtId="0">
      <sharedItems containsBlank="1" count="459">
        <s v="F-450-19"/>
        <s v="2 Isuzu GF-2384-B"/>
        <s v="3 Isuzu GF-2385-B"/>
        <s v="M-04"/>
        <s v="Kenworth 864-AL7"/>
        <s v="Isuzu nuevo"/>
        <s v="4 Isuzu  GF-0759-C"/>
        <s v="#04 International JU-51 132"/>
        <s v="M-Grua TORTON (12) MRD"/>
        <s v="GDL 01 International"/>
        <s v="GDL 02 Dina"/>
        <s v="GDL 05 Ford 4.5 Tons"/>
        <s v="MTY 06 Nissan"/>
        <s v="GDL 11 Dina"/>
        <s v="( ) GDL Hilux GRIS SWF - CHOFERES"/>
        <s v="( ) GDL Jeep Patriot-ALVARO MINAKATA"/>
        <s v="( ) GDL Jetta JNM8319 - Antonio Navarro"/>
        <s v="Kenworth 171-AJ4"/>
        <s v="( ) GDL L200 FB86301 - JULIO GOMEZ"/>
        <s v="( ) GDL L200 FM9859A - Raul Diaz"/>
        <s v="Nissan NP300"/>
        <s v="( ) GDL NP300 EXPLOSIVOS - David D."/>
        <s v="Ranger MSV-0608"/>
        <s v="( ) GDL Ranger FB85711 - Antonio Rios"/>
        <s v="SO-N77"/>
        <s v="CAMION MERCEDES"/>
        <s v="CAMIONETA NP 300"/>
        <s v="TRACTO VOLVO"/>
        <s v="GDL 03 mercedes"/>
        <s v="GDL 07 Nissan"/>
        <s v="GDL 12 International"/>
        <s v="T-Tiida Blanco"/>
        <s v="C1-Grua TORTON (1) MALCO"/>
        <s v="Crafter"/>
        <s v="Hino"/>
        <s v="Isuzu ELF300"/>
        <s v="Nissan"/>
        <s v="Nissan 2"/>
        <s v="Pilot"/>
        <s v="T-Grua TXT- (21)"/>
        <s v="T-NP300 TXT CARLOS"/>
        <s v="T-Tiida Dorado TXT"/>
        <s v="Worker JU-092"/>
        <s v="X-Grua (31) CHRISTIAN"/>
        <s v="X-NP300 (32) OSCAR"/>
        <s v="M-11"/>
        <s v="Camioneta Culiacán"/>
        <s v="GRUA 03"/>
        <s v="Hilux Bazar"/>
        <s v="( ) GDL NP300 2021 JX03401 Jorge Garcia"/>
        <s v="TRACTO FREIGHTLINE"/>
        <s v="Nissan Tomas"/>
        <s v="M-01 ."/>
        <s v="06 NISSAN GF-2386-B"/>
        <s v="(89) Zac L200 FM 9823-A Blenda D. Molina"/>
        <s v="(72) Mzt HILUX FB86319 Rogelio Romero"/>
        <s v="(90)Dgo L200 ER 0367-A Hazael"/>
        <s v="Mazda3"/>
        <s v="(01) GDL Remolque - 9CZ4836 - Oscar Garcia"/>
        <s v="(11) GDL Hilux 2014 FB 85707 - Jorge Garcia"/>
        <s v="(25) GDL Ford 2011 F 550 FB85702 - Armando Aceves"/>
        <s v="C-Vento Sistelec Antonio M"/>
        <s v="March Julio SHA-167-A"/>
        <s v="DIL0001"/>
        <s v="GDL 14 International"/>
        <s v="( ) TRC Hyundai Eduardo Salazar"/>
        <s v="Jamoneta"/>
        <s v="Kenwort 832-AR5"/>
        <s v="Kenworth"/>
        <s v="( ) GDL  L200 JW16187 - Eduardo Aguilera"/>
        <s v="Nissan 2010"/>
        <s v="Nissan 2018"/>
        <s v="Ram 4000"/>
        <s v="( ) TRC Ram Daniel Rivera"/>
        <s v="Seat Leon"/>
        <s v="CAMIONETA VW ROBUST"/>
        <s v="F-350"/>
        <s v="Ford"/>
        <s v="( ) GDL Ford F-350 JW17183 David D"/>
        <s v="( ) GDL Ford F350 JW17184 David D"/>
        <s v="( ) GDL Ford 2019 F-550 JW16700 J. Luis Bernardino"/>
        <s v="GDL 16 Ford 3.5 Tons"/>
        <s v="JV07103"/>
        <s v="JV73453"/>
        <s v="KW 647-AF3"/>
        <s v="Camioneta Mochis 02 Edgar"/>
        <s v="Freightliner 949-AT3"/>
        <s v="(53) Dgo Ram Gris FB-86338 Abraham Hdz"/>
        <s v="E (57) Zac  Kenworth FB-86327 José  Alfonso)"/>
        <s v="(62) Dgo Colorado FB-86317 Emerson"/>
        <s v="(65) Dgo Ranger FB-86318 Tte Arambula"/>
        <s v="(78) Dgo Hilux FB-86336 Victor Reyes"/>
        <s v="E (80) Dgo Kenworth FB-86339 Jesús Buen Rostro"/>
        <s v="(87) Dgo Ranger FB-86344 Daniel Razo"/>
        <s v="(PTC) (88) Hmo Silverado FM9848-A Erika Portillo"/>
        <s v="( ) GDL Frontier NP300 JV02582 - Olaf Olivos"/>
        <s v="Grua 02 ."/>
        <s v="Hino 2019"/>
        <s v="NP300 CENMEX1"/>
        <s v="( ) DGO Hilux EY-9242-A Roberto Sifuentes"/>
        <s v="Spark gvw7914"/>
        <s v="Aveo Morelia"/>
        <s v="CHEVROLET CORRALES"/>
        <s v="C-NP300 (7) Mensajeria ALDAIR"/>
        <s v="NP300-NOGALES"/>
        <s v="Peugeot Partner"/>
        <s v="Versa Yoli"/>
        <s v="SIN0006"/>
        <s v="CRV-Plata JKV-9452"/>
        <s v="T-Grua-Kodiak JACOB (24)"/>
        <s v="UF67404 Wilfrido"/>
        <s v="UG69777 Sec87"/>
        <s v="UG69778 Sec 84"/>
        <s v="UG81145 Sec85"/>
        <s v="UG81167 Alfredo Luna"/>
        <s v="( ) GDL AVEO FJR 7869  MONICA HERNANDEZ"/>
        <s v="M-NP300 2018 (8) MERIDA"/>
        <s v="F-450-17"/>
        <s v="( ) GDL Frontier NP300 FT8767A - Israel Glz"/>
        <s v="GDL CR-V"/>
        <s v="Honda Accord"/>
        <s v="International 511-ES8"/>
        <s v="( ) GDL L200- Edgar Ortiz"/>
        <s v="( ) GDL L200 FB86306 - Eduardo Juarez"/>
        <s v="( ) GDL L200 FB86302 - Noe Suazo"/>
        <s v="NP300 GDL"/>
        <s v="Ram 4500"/>
        <s v="Ram Promaster"/>
        <s v="Sin. Vento"/>
        <s v="CAMIONETA FORD 3.5"/>
        <s v="C2-Grua Inter 2004 (2) EFRAIN"/>
        <s v="Versa Azul"/>
        <s v="( ) BCH Ranger EW2284A Francisco Arambula"/>
        <s v="Versa gris"/>
        <s v="(PTC) HMO L200 EW-3476-A Cristian Leon"/>
        <s v="(PTC) L200 EW-3475-A Cesar Romo"/>
        <s v="( ) Pinos IMI L200 EW-3478-A Aldo Ramos Juarez"/>
        <s v="(PTC) HMO L200 EW-3477-A Fabian Renteria"/>
        <s v="(PTC) L200 EW-3479-A Fabian Verdugo"/>
        <s v="International 05-AC1-N"/>
        <s v="GDL 18 Nissan"/>
        <s v="5 Isuzu GG-9075-B"/>
        <s v="07 RAM GF-2387-B"/>
        <s v="(PTC) Hilux EY-9207-A 2021"/>
        <s v="(PTC) HMO L200 EY4036A Daniel M.Gonzalez"/>
        <s v="E ( ) Hilux EY-4471-A"/>
        <s v="Ford GDL"/>
        <s v="(PTC) L200 EY4037A Martin Gradillas"/>
        <s v="( ) TRC Ram4000 EW3483A Dinamita"/>
        <s v="( ) L200 EY4038A Gerardo Mendoza"/>
        <s v="minibus"/>
        <s v="E ( ) Hilux Serie 421478 IMI"/>
        <s v="Versa GDL Nuevo"/>
        <s v="C-NP300 (6) 2015 (6) BENJAMIN"/>
        <s v="March SLR-250A"/>
        <s v="March SRL-251A"/>
        <s v="Nissan Bca"/>
        <s v="Ford grua"/>
        <s v="L200 BLANCA"/>
        <s v="MB GLA"/>
        <s v="Kenworth W900L 06-AM-9R"/>
        <s v="Crafter TJ"/>
        <s v="E (55) RAM 2500 FB.86-329 Alberto Sanchez"/>
        <s v="E (59 ) DGO Kenworth FB-86-331"/>
        <s v="E (68) DGO International FB-86-333"/>
        <s v="E (73) MZT Kenworth FB-86334"/>
        <s v="E (64 ) MZT International  FB-86330"/>
        <s v="( ) Frontier FN-3047-B"/>
        <s v="( ) L200 EZ-9385-A"/>
        <s v="(PTC) L200 FA-3861-A MIGUEL PINELO"/>
        <s v="( ) TOR Ford F550"/>
        <s v="1 Isuzu GG-9055-B"/>
        <s v="( ) Mzt Hilux EY-9355-A Dante Espinoza"/>
        <s v="(PTC) HMO Hilux FB-84755 Daniel Valenzuela"/>
        <s v="(PTC) L200 FM-9976-A Ana Flores"/>
        <s v="(PTC) L200 FL-6297A Victor Mendivil"/>
        <s v="TORTON INTL"/>
        <s v="(PTC) Ram 4000 EY-4495A"/>
        <s v="(PTC) Kenworth  FB-84758 U-84"/>
        <s v="(17) GDL International FT28926 David Dominguez NVO"/>
        <s v="( ) GDL Nissan NP300 JV11491-Victor Gutierrez"/>
        <s v="Sportage"/>
        <s v="Peugeot AM-5237-A"/>
        <s v="Ford AM-2896-A"/>
        <s v="Ford  AM-5120-A"/>
        <s v="Ford AM-5119-A"/>
        <s v="(01) DGO Caja  9-CZ-4840"/>
        <s v="EC (02) Caja IMI 9-cz-5184"/>
        <s v="E (56) Dgo Ram FB-86328"/>
        <s v="( ) DGO Hilux FV-9368-A"/>
        <s v="T ( ) Dgo. Hyundai YDF593-A Jonathan"/>
        <s v="Ducato PW-6066A"/>
        <s v="( ) GDL OAX L200 FU0824 - A  Salvador Ramirez"/>
        <s v="( ) GDL OAX L200 JS83823 - Alberto Ramirez"/>
        <s v="Freightliner JT93-637"/>
        <s v="Freightliner JN-81-768"/>
        <s v="Delta Nissan JV-22-427"/>
        <s v="( ) GDL Ford Econoline JJG7611 - Enrique Arjona"/>
        <s v="( ) GDL L200 FM9808-Javier Hernández Juárez"/>
        <s v="( ) TOR Patriot FZT-511-A"/>
        <s v="( ) TOR Spark GAT-660B"/>
        <s v="(PTC) Kenworth FB-84757 U-85"/>
        <s v="(PTC) Cerro Prieto International 49-04-M"/>
        <s v="Ford F150 VE-76718"/>
        <s v="( ) DGO KW FB-86-335"/>
        <s v="(21) DGO Urban FXD-224B"/>
        <s v="(49) DGO Ram 49 FB-86332"/>
        <s v="(82) DGO KW FB-86343"/>
        <s v="Portatil 011"/>
        <s v="( ) GDL - CALICA Frontier JV01703 - Omar Gomez"/>
        <s v="( ) GDL LAZ Hilux FB85710 - Adrian Gonzalez"/>
        <s v="( ) GDL LAZ Hilux FB85709 - Gustavo Ramirez"/>
        <s v="( ) GDL - CALICA Hilux FB 85713 - David Perea"/>
        <s v="( ) GDL LAZ Tsuru JHS7135 - Julio Maldonado"/>
        <s v="VERSA GERMAN"/>
        <s v="( ) TOR NP300 FW-9672-A"/>
        <s v="( ) TOR Ford Nva Serie 81731"/>
        <s v="( ) TOR Ram FB-86321"/>
        <s v="() Hilux FM-9841-A"/>
        <s v="( ) TOR Jetta SP Vin 5U7800375AE"/>
        <s v="( ) TOR F150 FM-9802-A"/>
        <s v="( ) TOR ElantraFZN-793-B"/>
        <s v="( ) TOR Rav4 FXC-515-B "/>
        <s v="( )TOR L200 FM-9844-A"/>
        <s v="( ) Jeep FZT-512-A"/>
        <s v="( ) TOR Hilux FM-9804-A"/>
        <s v="Spark JUAN PABLO"/>
        <s v="Versa Miguel Armas"/>
        <s v="March MAURICIO"/>
        <s v="Versa SALVADOR"/>
        <s v="Nissan Nva"/>
        <s v="X-Versa Plata YRD-785-A NICOLAS"/>
        <s v="C-Versa Plata Miguel"/>
        <s v="20 Freightliner  4237Serie"/>
        <s v="21 Freigthliner 4238Serie"/>
        <s v="(PTC) L200 FA-3882-A VANESSA VIDAL"/>
        <s v="( ) TOR L200 FL-4258B"/>
        <s v="Austin 49491"/>
        <s v="( ) DGO L200 RCW-878-A"/>
        <s v="( ) DGO RAM FB-84-753"/>
        <s v="(83) DGO Kenworth FB-86-342"/>
        <s v="C13- Ford XX-3177-A RENE"/>
        <s v="( ) DGO L200 EU-1297-A"/>
        <s v="E (45) ZAC FORD FB 86323 Antonio Ramirez Valdez"/>
        <s v="( ) DGO L200 FM-7113-B"/>
        <s v="Bernardo Rodriguez Bracamontes/Baja"/>
        <s v="Bernardo Rodriguez Bracamontes"/>
        <s v="GDL 22 Chevrolet"/>
        <s v="HERIBERTO"/>
        <s v="March RICARDO"/>
        <s v="March GYE-956-B"/>
        <s v="March M ALVAREZ"/>
        <s v="Range Rover"/>
        <s v="Viano"/>
        <s v="K Ruta 05 Teotihuacan"/>
        <s v="K Ruta 06 San Cristobal"/>
        <s v="K Ruta 10 Vallejo"/>
        <s v="K Comodin"/>
        <s v="K Ruta 09 Santa Lucia"/>
        <s v="K Ruta 04 Ozumbilla"/>
        <s v="K Ruta 07 Tultepec"/>
        <s v="K Ruta 08 Tecamac"/>
        <s v="K Ruta 02 Coacalco"/>
        <s v="K Ruta 01 Xalostoc"/>
        <s v="K Ruta 03 Heroes"/>
        <s v="IMI 19574"/>
        <s v="IMI 19573"/>
        <s v="( ) GDL L200 FB86308 - MISAEL MONROY NVO"/>
        <s v="MG5 Demo"/>
        <s v="GOL DEMO"/>
        <s v="Versa Culiacan2"/>
        <s v="Taxi01"/>
        <s v="Taxi02"/>
        <s v="Sorento Demo"/>
        <s v="Isuzu PF-41-279"/>
        <s v="Isuzu PF-41-278"/>
        <s v="Isuzu PF-32-761 Eco 03"/>
        <s v="camion 4"/>
        <s v="Switf Blanco"/>
        <s v="A19 Hiace VTU-275-A"/>
        <s v="P-215"/>
        <s v="A20 Frontier VE-02-327"/>
        <s v="02 INT 79-AE-3A"/>
        <s v="Chevrolet DobleR"/>
        <s v="Cascadia 01"/>
        <s v="AT6-48242"/>
        <s v="AT6-47707"/>
        <s v="Cascadia 02"/>
        <s v="A17 Tornado VE-10-044 Cesar"/>
        <s v="Kenworth Blanco"/>
        <s v="A15 Tornado VE-08-951"/>
        <s v="Avanza WDX-647-A"/>
        <s v="Masame 583"/>
        <s v="Masame 249"/>
        <s v="Hilux Juvenal"/>
        <s v="A21 Hilux ve-24923 Ricardo Anaya"/>
        <s v="Hilux Damian"/>
        <s v="Tornado UJ-92914 Carlos Arlan"/>
        <s v="Hilux CSF"/>
        <s v="Hilux Abraham Cazares VE-61-441"/>
        <s v="Versa J JESUS"/>
        <s v="Hilux Jorge Cobos"/>
        <s v="A13 Ranger VE-61-322"/>
        <s v="A25 Hilux VE-72-922 Fitosanidad"/>
        <s v="AveoMoreliaNvo"/>
        <s v="( ) Hiunday Elantra GAT-659-B"/>
        <s v="( ) TRC L200 FL4264-B Gustavo Hinojosa"/>
        <s v="(10)Jeep Patriot FXG-746-B"/>
        <s v="Austin 24836"/>
        <s v="Austin 24837"/>
        <s v="Austin 24838"/>
        <s v="IMI 24839"/>
        <s v="Ruptela HCV"/>
        <s v="() Ford F550  FN9351B"/>
        <s v="AT6-50628"/>
        <s v="AT6-45115"/>
        <s v="(PTC) L200 FR-5794- Desy Molina"/>
        <s v="International  VE98-758"/>
        <s v="(PTC) L200 ER-5790A"/>
        <s v="International VE98-898"/>
        <s v="TRANS UNO-1"/>
        <s v="TRANS UNO-5"/>
        <s v="TRANS UNO-4"/>
        <s v="TRANS UNO-2"/>
        <s v="Freighliner 360"/>
        <s v="Ducato S/p"/>
        <s v="AT6-49901"/>
        <s v="AT6-50057"/>
        <s v="baja sistema"/>
        <s v="Tracto1"/>
        <s v="Porshe Panamera"/>
        <s v="Grua 1 UJ-62-997"/>
        <s v="Grua 2 UG-33-210 Int"/>
        <s v="Chevrolet GT-0096B"/>
        <s v="Nissan GT-0095B"/>
        <s v="Hino GR-6906C"/>
        <s v="Nissan GT-0094B"/>
        <s v="PORTATIL 001"/>
        <s v="Trix 7935"/>
        <s v="trix 6537"/>
        <s v="Jac Nuevo"/>
        <s v="SidneyColima"/>
        <s v="Torni 0950003934"/>
        <s v="Ducato Nueva"/>
        <m/>
        <s v="( ) CHIH San Julian Sat"/>
        <s v="Felipe Gomez Celular"/>
        <s v="Karina Estrada"/>
        <s v="Mustang"/>
        <s v="Grua 01 ."/>
        <s v="M-12"/>
        <s v="M-15"/>
        <s v="MTY CG-13"/>
        <s v="E (52) Dgo International FB-86326 Jose Herrera"/>
        <s v="(PTC) L200 FL-2856B Sergio Rios"/>
        <s v="Nissan M1"/>
        <s v="Tiida PRemio"/>
        <s v="Camioneta CDMX"/>
        <s v="Portatil GL300logist"/>
        <s v="SENTRA"/>
        <s v="(PTC) HMO Hilux MNA-4622 Luis Zazueta"/>
        <s v="Miniban"/>
        <s v="Luis Felipe Gomez Celular"/>
        <s v="M-02"/>
        <s v="M-16"/>
        <s v="Jeep Rojo"/>
        <s v="M-06"/>
        <s v="MTY CG-04"/>
        <s v="( ) TOR CX5 GDS-592B"/>
        <s v="M-03"/>
        <s v="M-14"/>
        <s v="( ) TOR RAM Dgo FM-9846A"/>
        <s v="Camioneta Mochis 01 Paul"/>
        <s v="Saveiro"/>
        <s v="(71) TRC Hilux FB-84754 Jonathan"/>
        <s v="Kenworth  403-AM4"/>
        <s v="Kenworth 331-AP2"/>
        <s v="GDL 10 International"/>
        <s v="(PTC) HMO L200 Enrique Celaya"/>
        <s v="(63) Dgo  Jetta FNM-7528 Benjamin Sotero"/>
        <s v="KingRanch"/>
        <s v="D VENTO UPH-744-A"/>
        <s v="Honda CR-V --- Dañado"/>
        <s v="Honda CRV 2"/>
        <s v="Disponible"/>
        <s v="McLaren"/>
        <s v="Kia Rio JPE-8316"/>
        <s v="CE (09) Mack EY-2187-A"/>
        <s v="(27) GDL Dodge RAM 2013 - Ediberto Patricio"/>
        <s v="Grua 04"/>
        <s v="(23) GDL KW 2013 Torton - J. de Jesús Larios"/>
        <s v="MTY CG-17 Kodiak"/>
        <s v="(PTC) Hilux FB-86320 Arnoldo Valenzuela"/>
        <s v="(PTC) (92) L200 ER-0183A Sukai Alfaro"/>
        <s v="(P) Ford Lobo"/>
        <s v="( ) CHIH L-200 FM9807A Roberto Isaac Navarro"/>
        <s v="( ) CHIH L-200 FM9805A Enrique Martinez"/>
        <s v="( ) CHIH L-200 FU0543A Ricardo Medina"/>
        <s v="( ) TRC Ranger FM-9849a Salvador Muñoz"/>
        <s v="Portatil 031"/>
        <s v="Portatil 021"/>
        <s v="(PTC) L200 FA-3875-A LUIS RODRIGUEZ"/>
        <s v="C11-Grua (11) TORTON ALONSO"/>
        <s v="C-NP300 (9) 2020 (9) SALVADOR"/>
        <s v="(00)DGO FORD F150 JN 47054  Carlos Martinez"/>
        <s v="(00)Zac L200 EU1296A Ulises Morales"/>
        <s v="( )DGO L200 FL-3615-B Matias Gutierrez"/>
        <s v="C3- Grua Chev PATIO CTH"/>
        <s v="Camionetas"/>
        <s v="( ) GDL L200 JW58457 - Francisco Mejia"/>
        <s v="( ) GDL L200 JW58604 - Edgar Olivares"/>
        <s v="Spark Tornimaster"/>
        <s v="GDL-Tiida Gris"/>
        <s v="C4-Grua -Mercedes  (4) NAVA"/>
        <s v="( ) GDL Kenworth 2010"/>
        <s v="JONATHAN"/>
        <s v="DAVID"/>
        <s v="MANUEL"/>
        <s v="Camry plata"/>
        <s v="( ) GDL Hilux JS14283 Ángel Rodriguez"/>
        <s v="GDL 19 Freighliner ."/>
        <s v="(PTC) Hilux EY-4796-A"/>
        <s v="Ram PV-1179-A"/>
        <s v="( ) GDL L200 FB86304 Rigoberto Polanco"/>
        <s v="Examo"/>
        <s v="Xtrail"/>
        <s v="Auto01"/>
        <s v="Auto04"/>
        <s v="Auto02"/>
        <s v="Auto05"/>
        <s v="Auto03"/>
        <s v="Kenworth Negro"/>
        <s v="Clasico"/>
        <s v="NISSAN 2021"/>
        <s v="MDVR IMI"/>
        <s v="MDVR F550"/>
        <s v="Portatil3940"/>
        <s v="MDVR Sidney2"/>
        <s v="Hilux Jorge Cobos Microf"/>
        <s v="SO-F71"/>
        <s v="Dañado/(91) Dgo L200 ER-0366-A Benjamin Hidalgo S."/>
        <s v="AT6-Pipas Gordas"/>
        <s v="AT6-Concentido"/>
        <s v="_x0009_20 - NISSAN NP300"/>
        <s v="17 - NISSAN NP 300"/>
        <s v="19 - NISSAN NP300"/>
        <s v="11 - NISSAN NP300"/>
        <s v="18 - NISSAN NP300"/>
        <s v="15 - RAM 4000"/>
        <s v="17 - RAM 4000"/>
        <s v="18 - RAM 4000"/>
        <s v="GT06N-65017"/>
        <s v="WETRACK2-38504"/>
        <s v="Restroexcabadora"/>
        <s v="Volteo Amarillo"/>
        <s v="Corolla"/>
        <s v="Beat"/>
        <s v="NP-300"/>
        <s v="Escape"/>
      </sharedItems>
    </cacheField>
    <cacheField name="Imei Corto" numFmtId="0">
      <sharedItems containsBlank="1"/>
    </cacheField>
    <cacheField name="imei2" numFmtId="0">
      <sharedItems containsDate="1" containsBlank="1" containsMixedTypes="1" minDate="2019-09-13T00:00:00" maxDate="1900-01-02T20:02:05"/>
    </cacheField>
    <cacheField name="Equipos" numFmtId="0">
      <sharedItems containsBlank="1" count="43">
        <s v="Queclink GV300"/>
        <s v="Suntech ST300R"/>
        <s v="Ruptela FM Eco4 light T series"/>
        <s v="Queclink GV55"/>
        <s v="Ruptela FM Eco4 Light"/>
        <s v="LMU-700 Series"/>
        <s v="Suntech ST600R"/>
        <s v="Suntech ST4300"/>
        <s v="Cellocator CR200"/>
        <s v="Suntech IMovit"/>
        <s v="Queclink GV75"/>
        <s v="Ruptela Eco4Ligth"/>
        <s v="Suntech ST4310"/>
        <s v="Concox AT4"/>
        <s v="Suntech ST4340"/>
        <s v="Suntech ST4340LC"/>
        <s v="SinEquipo"/>
        <s v="Teltonika FMB920"/>
        <s v="Ruptela PRo4"/>
        <s v="Queclink GV500"/>
        <s v="Concox GT06E"/>
        <s v="Concox AT6"/>
        <s v="Ruptela HCV"/>
        <s v="Ruptrla Trace5 NA"/>
        <s v="Suntech ST3300"/>
        <s v="Suntech ST4315"/>
        <m/>
        <s v="Globalstar SmartOne"/>
        <s v="Iphone 12"/>
        <s v="Suntech ST600-UP"/>
        <s v="Queclink GL300"/>
        <s v="Cellocator CR300"/>
        <s v="Iphone XR"/>
        <s v="Topflytech T8608D"/>
        <s v="LMU-2700 Series"/>
        <s v="Concox WeTrack lite (GV25)"/>
        <s v="ConcoxGT06E"/>
        <s v="Concox GT06N"/>
        <s v="Streamax X3-H0402"/>
        <s v="Suntech ST3940"/>
        <s v="Concox R83"/>
        <s v="Concox Wetrack2"/>
        <s v="Concox Q2"/>
      </sharedItems>
    </cacheField>
    <cacheField name="Grupo" numFmtId="0">
      <sharedItems containsBlank="1" count="83">
        <s v="Plasticos_VPSA"/>
        <s v="E_Migliore"/>
        <s v="MutualidadMinerva"/>
        <s v="TransportesGomo"/>
        <s v="MexicanaEnvases"/>
        <s v="Grupo AconcaguaMX"/>
        <s v="Sistelec"/>
        <s v="GrupoAconcaguaGDL"/>
        <s v="GrupoAconcaguaNorte"/>
        <s v="Austin_GDL"/>
        <s v="Sidney_GDL"/>
        <s v="TransportesGonzalez"/>
        <s v="Vika"/>
        <s v="Austin_Explosivos"/>
        <s v="TransportesSolorio"/>
        <s v="Logyca"/>
        <s v="ISASA"/>
        <s v="Tornimaster"/>
        <s v="TornimasterMty"/>
        <s v="Dist_Premio"/>
        <s v="Yamuni"/>
        <s v="MuebleriaBazar"/>
        <s v="Sidney_Explosivos"/>
        <s v="IMI Durango"/>
        <s v="LMarquez"/>
        <s v="SOLUCIONES INTGRALES DE TRANSPORTE DIL SA DE CV"/>
        <s v="AustinTorreon"/>
        <s v="SandraDennisse"/>
        <s v="CYNERI"/>
        <s v="ElMundoGto"/>
        <s v="ADRIAN JESUS MUNOZ"/>
        <s v="Pitic Hermosillo"/>
        <s v="CenMex"/>
        <s v="IMDurango"/>
        <s v="KlifnetDemo"/>
        <s v="Zacaula2"/>
        <s v="EntregasOO"/>
        <s v="IDAsesoria"/>
        <s v="AUPANohme"/>
        <s v="RicoOchoa"/>
        <s v="UniversalAzulejos"/>
        <s v="I_Mercurio"/>
        <s v="CiriloOrtega"/>
        <s v="Mesagrama"/>
        <s v="EdificacionBR"/>
        <s v="TrixImportaciones"/>
        <s v="Dmeneses"/>
        <s v="CorpAricar"/>
        <s v="TransfDelta"/>
        <s v="AGSonorg"/>
        <s v="Bernardo"/>
        <s v="baja"/>
        <s v="Security1"/>
        <s v="Security2"/>
        <s v="Kormex"/>
        <s v="JoseHUrias"/>
        <s v="GQGLOBAL"/>
        <s v="AyuntamientoHillo"/>
        <s v="ComAutomotriz"/>
        <s v="TransportesMS"/>
        <s v="Rosina Rios"/>
        <s v="TransportesViveros"/>
        <s v="Masame"/>
        <s v="RemolqueDel"/>
        <s v="TransportesUno"/>
        <s v="JoseLBurlong"/>
        <s v="RecicladoraColima"/>
        <s v="GRFinancial"/>
        <s v="Pymafi"/>
        <m/>
        <s v="Klifnet"/>
        <s v="LogisticaMars"/>
        <s v="AgricolaCharay"/>
        <s v="TransportesPerez"/>
        <s v="ExamoFS"/>
        <s v="Jose Mundo Alvarez Ortiz"/>
        <s v="JavierVazquez"/>
        <s v="Debra Jabeth Esparza Noriega"/>
        <s v="Elsa Lilia Zuñiga Santoyo"/>
        <s v="Fauto Navarro"/>
        <s v="Juan Torres"/>
        <s v="Mario Vazquez Gurierrez"/>
        <s v="Nicolas Medina Romo"/>
      </sharedItems>
    </cacheField>
    <cacheField name="Grupos" numFmtId="0">
      <sharedItems containsBlank="1" count="17">
        <s v="Klifnet_mgr"/>
        <s v="Grupo Aconcagua"/>
        <s v="Austin Powder"/>
        <s v="IMovit"/>
        <s v="Bernardo"/>
        <s v="TIASA"/>
        <s v="Rosina"/>
        <m/>
        <s v="Austin"/>
        <s v="Cancelar"/>
        <s v="MundoAE"/>
        <s v="Debra01"/>
        <s v="Elsa2019"/>
        <s v="FaustoNav"/>
        <s v="Juantorres01"/>
        <s v="MarioVG9"/>
        <s v="mrdigital1"/>
      </sharedItems>
    </cacheField>
    <cacheField name="Plataforma" numFmtId="0">
      <sharedItems containsBlank="1" count="8">
        <s v="Wialon"/>
        <s v="IMovit"/>
        <s v="Ventas IOT"/>
        <s v="TrackSolid"/>
        <m/>
        <s v="Disponible"/>
        <s v="Corporativo"/>
        <s v="Cancelar"/>
      </sharedItems>
    </cacheField>
    <cacheField name="Proveedor" numFmtId="0">
      <sharedItems count="10">
        <s v="01 Emprenet"/>
        <s v="02 Emnify"/>
        <s v="03 GlobalSat"/>
        <s v="04 Telcel"/>
        <s v="08 BajaWemobile"/>
        <s v="05 WeMobile"/>
        <s v="06 M2MExpress"/>
        <s v="07 TelcelPrep"/>
        <s v="09 Telcel Bajas"/>
        <s v="10 Propios"/>
      </sharedItems>
    </cacheField>
    <cacheField name="Vencimiento" numFmtId="0">
      <sharedItems containsDate="1" containsString="0" containsBlank="1" containsMixedTypes="1" minDate="1899-12-31T00:00:00" maxDate="2023-02-02T00:00:00"/>
    </cacheField>
    <cacheField name="Plat Num" numFmtId="0">
      <sharedItems containsString="0" containsBlank="1" containsNumber="1" containsInteger="1" minValue="1" maxValue="3"/>
    </cacheField>
    <cacheField name="Arrendam" numFmtId="0">
      <sharedItems containsBlank="1" containsMixedTypes="1" containsNumber="1" containsInteger="1" minValue="50" maxValue="50"/>
    </cacheField>
    <cacheField name="Precio" numFmtId="0">
      <sharedItems containsNonDate="0" containsString="0" containsBlank="1"/>
    </cacheField>
    <cacheField name="Periodo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n v="1"/>
    <n v="1"/>
    <x v="0"/>
    <s v="345901000878859"/>
    <s v="868789021390124"/>
    <x v="0"/>
    <s v="868789021390124"/>
    <s v="868789021390124"/>
    <x v="0"/>
    <x v="0"/>
    <x v="0"/>
    <x v="0"/>
    <x v="0"/>
    <m/>
    <n v="1"/>
    <m/>
    <m/>
    <m/>
  </r>
  <r>
    <n v="2"/>
    <n v="2"/>
    <x v="1"/>
    <s v="345901000886579"/>
    <s v="868789021389787"/>
    <x v="1"/>
    <s v="868789021389787"/>
    <s v="868789021389787"/>
    <x v="0"/>
    <x v="1"/>
    <x v="0"/>
    <x v="0"/>
    <x v="0"/>
    <m/>
    <n v="1"/>
    <m/>
    <m/>
    <m/>
  </r>
  <r>
    <n v="3"/>
    <n v="3"/>
    <x v="2"/>
    <s v="345901000865728"/>
    <s v="868789021396733"/>
    <x v="2"/>
    <s v="868789021396733"/>
    <s v="868789021396733"/>
    <x v="0"/>
    <x v="1"/>
    <x v="0"/>
    <x v="0"/>
    <x v="0"/>
    <m/>
    <n v="1"/>
    <m/>
    <m/>
    <m/>
  </r>
  <r>
    <n v="4"/>
    <n v="4"/>
    <x v="3"/>
    <s v="345901000869321"/>
    <s v="205452049"/>
    <x v="3"/>
    <s v="205452049"/>
    <s v="358222054520497"/>
    <x v="1"/>
    <x v="2"/>
    <x v="0"/>
    <x v="0"/>
    <x v="0"/>
    <m/>
    <n v="1"/>
    <m/>
    <m/>
    <m/>
  </r>
  <r>
    <n v="5"/>
    <n v="5"/>
    <x v="4"/>
    <s v="345901000876216"/>
    <s v="205495480"/>
    <x v="4"/>
    <s v="205495480"/>
    <s v="358222054954803"/>
    <x v="1"/>
    <x v="3"/>
    <x v="0"/>
    <x v="0"/>
    <x v="0"/>
    <m/>
    <n v="1"/>
    <m/>
    <m/>
    <m/>
  </r>
  <r>
    <n v="6"/>
    <n v="6"/>
    <x v="5"/>
    <s v="345901000863698"/>
    <s v="868789021430532"/>
    <x v="5"/>
    <s v="868789021430532"/>
    <s v="868789021430532"/>
    <x v="0"/>
    <x v="4"/>
    <x v="0"/>
    <x v="0"/>
    <x v="0"/>
    <m/>
    <n v="1"/>
    <m/>
    <m/>
    <m/>
  </r>
  <r>
    <n v="7"/>
    <n v="7"/>
    <x v="6"/>
    <s v="345901000883891"/>
    <s v="868789021389886"/>
    <x v="6"/>
    <s v="868789021389886"/>
    <s v="868789021389886"/>
    <x v="0"/>
    <x v="1"/>
    <x v="0"/>
    <x v="0"/>
    <x v="0"/>
    <m/>
    <n v="1"/>
    <m/>
    <m/>
    <m/>
  </r>
  <r>
    <n v="8"/>
    <n v="8"/>
    <x v="7"/>
    <s v="345901000297968"/>
    <s v="205475494"/>
    <x v="7"/>
    <s v="205475494"/>
    <s v="358222054754948"/>
    <x v="1"/>
    <x v="5"/>
    <x v="1"/>
    <x v="0"/>
    <x v="0"/>
    <m/>
    <n v="1"/>
    <m/>
    <m/>
    <m/>
  </r>
  <r>
    <n v="9"/>
    <n v="9"/>
    <x v="8"/>
    <s v="345901000350069"/>
    <s v="868899043824800"/>
    <x v="8"/>
    <s v="868899043824800"/>
    <s v="868899043824800"/>
    <x v="2"/>
    <x v="6"/>
    <x v="1"/>
    <x v="0"/>
    <x v="0"/>
    <m/>
    <n v="1"/>
    <m/>
    <m/>
    <m/>
  </r>
  <r>
    <n v="10"/>
    <n v="10"/>
    <x v="9"/>
    <s v="345901005016752"/>
    <s v="205475497"/>
    <x v="9"/>
    <s v="205475497"/>
    <s v="358222054754971"/>
    <x v="1"/>
    <x v="7"/>
    <x v="1"/>
    <x v="0"/>
    <x v="0"/>
    <m/>
    <n v="1"/>
    <m/>
    <m/>
    <m/>
  </r>
  <r>
    <n v="11"/>
    <n v="11"/>
    <x v="10"/>
    <s v="345901005017684"/>
    <s v="205475511"/>
    <x v="10"/>
    <s v="205475511"/>
    <s v="358222054755119"/>
    <x v="1"/>
    <x v="7"/>
    <x v="1"/>
    <x v="0"/>
    <x v="0"/>
    <m/>
    <n v="1"/>
    <m/>
    <m/>
    <m/>
  </r>
  <r>
    <n v="12"/>
    <n v="12"/>
    <x v="11"/>
    <s v="345901000287740"/>
    <s v="862193027989847"/>
    <x v="11"/>
    <s v="862193027989847"/>
    <s v="862193027989847"/>
    <x v="3"/>
    <x v="7"/>
    <x v="1"/>
    <x v="0"/>
    <x v="0"/>
    <m/>
    <n v="1"/>
    <m/>
    <m/>
    <m/>
  </r>
  <r>
    <n v="13"/>
    <n v="13"/>
    <x v="12"/>
    <s v="345901000193811"/>
    <s v="862193028009645"/>
    <x v="12"/>
    <s v="862193028009645"/>
    <s v="862193028009645"/>
    <x v="3"/>
    <x v="8"/>
    <x v="1"/>
    <x v="0"/>
    <x v="0"/>
    <m/>
    <n v="1"/>
    <m/>
    <m/>
    <m/>
  </r>
  <r>
    <n v="14"/>
    <n v="14"/>
    <x v="13"/>
    <s v="345901000679862"/>
    <s v="205475499"/>
    <x v="13"/>
    <s v="205475499"/>
    <s v="358222054754997"/>
    <x v="1"/>
    <x v="7"/>
    <x v="1"/>
    <x v="0"/>
    <x v="0"/>
    <m/>
    <n v="1"/>
    <m/>
    <m/>
    <m/>
  </r>
  <r>
    <n v="15"/>
    <n v="15"/>
    <x v="14"/>
    <s v="345901005017951"/>
    <s v="205475506"/>
    <x v="14"/>
    <s v="205475506"/>
    <s v="358222054755069"/>
    <x v="1"/>
    <x v="9"/>
    <x v="2"/>
    <x v="0"/>
    <x v="0"/>
    <m/>
    <n v="1"/>
    <m/>
    <m/>
    <m/>
  </r>
  <r>
    <n v="16"/>
    <n v="16"/>
    <x v="15"/>
    <s v="345901000243486"/>
    <s v="205475504"/>
    <x v="15"/>
    <s v="205475504"/>
    <s v="358222054755044"/>
    <x v="1"/>
    <x v="10"/>
    <x v="2"/>
    <x v="0"/>
    <x v="0"/>
    <m/>
    <n v="1"/>
    <m/>
    <m/>
    <m/>
  </r>
  <r>
    <n v="17"/>
    <n v="17"/>
    <x v="16"/>
    <s v="345901005012764"/>
    <s v="205495164"/>
    <x v="16"/>
    <s v="205495164"/>
    <s v="358222054951643"/>
    <x v="1"/>
    <x v="10"/>
    <x v="2"/>
    <x v="0"/>
    <x v="0"/>
    <m/>
    <n v="1"/>
    <m/>
    <m/>
    <m/>
  </r>
  <r>
    <n v="18"/>
    <n v="18"/>
    <x v="17"/>
    <s v="345901000199387"/>
    <s v="862193027990753"/>
    <x v="17"/>
    <s v="862193027990753"/>
    <s v="862193027990753"/>
    <x v="3"/>
    <x v="11"/>
    <x v="0"/>
    <x v="0"/>
    <x v="0"/>
    <m/>
    <n v="1"/>
    <m/>
    <m/>
    <m/>
  </r>
  <r>
    <n v="19"/>
    <n v="19"/>
    <x v="18"/>
    <s v="345901000207797"/>
    <s v="205475495"/>
    <x v="18"/>
    <s v="205475495"/>
    <s v="358222054754955"/>
    <x v="1"/>
    <x v="10"/>
    <x v="2"/>
    <x v="0"/>
    <x v="0"/>
    <m/>
    <n v="1"/>
    <m/>
    <m/>
    <m/>
  </r>
  <r>
    <n v="20"/>
    <n v="20"/>
    <x v="19"/>
    <s v="345901000193199"/>
    <s v="205475510"/>
    <x v="19"/>
    <s v="205475510"/>
    <s v="358222054755101"/>
    <x v="1"/>
    <x v="9"/>
    <x v="2"/>
    <x v="0"/>
    <x v="0"/>
    <m/>
    <n v="1"/>
    <m/>
    <m/>
    <m/>
  </r>
  <r>
    <n v="21"/>
    <n v="21"/>
    <x v="20"/>
    <s v="345901005013578"/>
    <s v="205475420"/>
    <x v="20"/>
    <s v="205475420"/>
    <s v="358222054754203"/>
    <x v="1"/>
    <x v="12"/>
    <x v="0"/>
    <x v="0"/>
    <x v="0"/>
    <m/>
    <n v="1"/>
    <m/>
    <m/>
    <m/>
  </r>
  <r>
    <n v="22"/>
    <n v="22"/>
    <x v="21"/>
    <s v="345901005049007"/>
    <s v="205475505"/>
    <x v="21"/>
    <s v="205475505"/>
    <s v="358222054755051"/>
    <x v="1"/>
    <x v="13"/>
    <x v="2"/>
    <x v="0"/>
    <x v="0"/>
    <m/>
    <n v="1"/>
    <m/>
    <m/>
    <m/>
  </r>
  <r>
    <n v="23"/>
    <n v="23"/>
    <x v="22"/>
    <s v="345901000198463"/>
    <s v="205475417"/>
    <x v="22"/>
    <s v="205475417"/>
    <s v="358222054754179"/>
    <x v="1"/>
    <x v="12"/>
    <x v="0"/>
    <x v="0"/>
    <x v="0"/>
    <m/>
    <n v="1"/>
    <m/>
    <m/>
    <m/>
  </r>
  <r>
    <n v="24"/>
    <n v="24"/>
    <x v="23"/>
    <s v="345901000245790"/>
    <s v="205475493"/>
    <x v="23"/>
    <s v="205475493"/>
    <s v="358222054754930"/>
    <x v="1"/>
    <x v="10"/>
    <x v="2"/>
    <x v="0"/>
    <x v="0"/>
    <m/>
    <n v="1"/>
    <m/>
    <m/>
    <m/>
  </r>
  <r>
    <n v="25"/>
    <n v="25"/>
    <x v="24"/>
    <s v="345901005027993"/>
    <s v="205222098"/>
    <x v="24"/>
    <s v="205222098"/>
    <s v="358222052220983"/>
    <x v="1"/>
    <x v="14"/>
    <x v="0"/>
    <x v="0"/>
    <x v="0"/>
    <m/>
    <n v="1"/>
    <m/>
    <m/>
    <m/>
  </r>
  <r>
    <n v="26"/>
    <n v="26"/>
    <x v="25"/>
    <s v="345901005056865"/>
    <s v="205495672"/>
    <x v="25"/>
    <s v="205495672"/>
    <s v="358222054956725"/>
    <x v="1"/>
    <x v="15"/>
    <x v="0"/>
    <x v="0"/>
    <x v="0"/>
    <m/>
    <n v="1"/>
    <m/>
    <m/>
    <m/>
  </r>
  <r>
    <n v="27"/>
    <n v="27"/>
    <x v="26"/>
    <s v="345901000194643"/>
    <s v="205495797"/>
    <x v="26"/>
    <s v="205495797"/>
    <s v="358222054957970"/>
    <x v="1"/>
    <x v="15"/>
    <x v="0"/>
    <x v="0"/>
    <x v="0"/>
    <m/>
    <n v="1"/>
    <m/>
    <m/>
    <m/>
  </r>
  <r>
    <n v="28"/>
    <n v="28"/>
    <x v="27"/>
    <s v="345901000673289"/>
    <s v="205911884"/>
    <x v="27"/>
    <s v="205911884"/>
    <s v="358222059118842"/>
    <x v="1"/>
    <x v="15"/>
    <x v="0"/>
    <x v="0"/>
    <x v="0"/>
    <m/>
    <n v="1"/>
    <m/>
    <m/>
    <m/>
  </r>
  <r>
    <n v="29"/>
    <n v="29"/>
    <x v="28"/>
    <s v="345901005013028"/>
    <s v="205496940"/>
    <x v="28"/>
    <s v="205496940"/>
    <s v="358222054969405"/>
    <x v="1"/>
    <x v="7"/>
    <x v="1"/>
    <x v="0"/>
    <x v="0"/>
    <m/>
    <n v="1"/>
    <m/>
    <m/>
    <m/>
  </r>
  <r>
    <n v="30"/>
    <n v="30"/>
    <x v="29"/>
    <s v="345901000289752"/>
    <s v="862193026620831"/>
    <x v="29"/>
    <s v="862193026620831"/>
    <s v="862193026620831"/>
    <x v="3"/>
    <x v="7"/>
    <x v="1"/>
    <x v="0"/>
    <x v="0"/>
    <m/>
    <n v="1"/>
    <m/>
    <m/>
    <m/>
  </r>
  <r>
    <n v="31"/>
    <n v="31"/>
    <x v="30"/>
    <s v="345901005019616"/>
    <s v="205496937"/>
    <x v="30"/>
    <s v="205496937"/>
    <s v="358222054969371"/>
    <x v="1"/>
    <x v="7"/>
    <x v="1"/>
    <x v="0"/>
    <x v="0"/>
    <m/>
    <n v="1"/>
    <m/>
    <m/>
    <m/>
  </r>
  <r>
    <n v="32"/>
    <n v="32"/>
    <x v="31"/>
    <s v="345901005050489"/>
    <s v="205495798"/>
    <x v="31"/>
    <s v="205495798"/>
    <s v="358222054957988"/>
    <x v="1"/>
    <x v="6"/>
    <x v="1"/>
    <x v="0"/>
    <x v="0"/>
    <m/>
    <n v="1"/>
    <m/>
    <m/>
    <m/>
  </r>
  <r>
    <n v="33"/>
    <n v="33"/>
    <x v="32"/>
    <s v="345901000292985"/>
    <s v="205913336"/>
    <x v="32"/>
    <s v="205913336"/>
    <s v="358222059133361"/>
    <x v="1"/>
    <x v="6"/>
    <x v="1"/>
    <x v="0"/>
    <x v="0"/>
    <m/>
    <n v="1"/>
    <m/>
    <m/>
    <m/>
  </r>
  <r>
    <n v="34"/>
    <n v="34"/>
    <x v="33"/>
    <s v="345901005017293"/>
    <s v="868899048979344"/>
    <x v="33"/>
    <s v="868899048979344"/>
    <s v="868899048979344"/>
    <x v="4"/>
    <x v="16"/>
    <x v="0"/>
    <x v="0"/>
    <x v="0"/>
    <m/>
    <n v="1"/>
    <m/>
    <m/>
    <m/>
  </r>
  <r>
    <n v="35"/>
    <n v="35"/>
    <x v="34"/>
    <s v="345901000209973"/>
    <s v="205912877"/>
    <x v="34"/>
    <s v="205912877"/>
    <s v="358222059128775"/>
    <x v="1"/>
    <x v="17"/>
    <x v="0"/>
    <x v="0"/>
    <x v="0"/>
    <m/>
    <n v="1"/>
    <m/>
    <m/>
    <m/>
  </r>
  <r>
    <n v="36"/>
    <n v="36"/>
    <x v="35"/>
    <s v="345901000193239"/>
    <s v="205912878"/>
    <x v="35"/>
    <s v="205912878"/>
    <s v="358222059128783"/>
    <x v="1"/>
    <x v="17"/>
    <x v="0"/>
    <x v="0"/>
    <x v="0"/>
    <m/>
    <n v="1"/>
    <m/>
    <m/>
    <m/>
  </r>
  <r>
    <n v="37"/>
    <n v="37"/>
    <x v="36"/>
    <s v="345901000288558"/>
    <s v="862193020442521"/>
    <x v="36"/>
    <s v="862193020442521"/>
    <s v="862193020442521"/>
    <x v="3"/>
    <x v="4"/>
    <x v="0"/>
    <x v="0"/>
    <x v="0"/>
    <m/>
    <n v="1"/>
    <m/>
    <m/>
    <m/>
  </r>
  <r>
    <n v="38"/>
    <n v="38"/>
    <x v="37"/>
    <s v="345901000208037"/>
    <s v="205912879"/>
    <x v="37"/>
    <s v="205912879"/>
    <s v="358222059128791"/>
    <x v="1"/>
    <x v="18"/>
    <x v="0"/>
    <x v="0"/>
    <x v="0"/>
    <m/>
    <n v="1"/>
    <m/>
    <m/>
    <m/>
  </r>
  <r>
    <n v="39"/>
    <n v="39"/>
    <x v="38"/>
    <s v="345901005016760"/>
    <s v="868789022577976"/>
    <x v="38"/>
    <s v="868789022577976"/>
    <s v="868789022577976"/>
    <x v="0"/>
    <x v="19"/>
    <x v="0"/>
    <x v="0"/>
    <x v="0"/>
    <m/>
    <n v="1"/>
    <m/>
    <m/>
    <m/>
  </r>
  <r>
    <n v="40"/>
    <n v="40"/>
    <x v="39"/>
    <s v="345901000242974"/>
    <s v="205913840"/>
    <x v="39"/>
    <s v="205913840"/>
    <s v="358222059138402"/>
    <x v="1"/>
    <x v="6"/>
    <x v="1"/>
    <x v="0"/>
    <x v="0"/>
    <m/>
    <n v="1"/>
    <m/>
    <m/>
    <m/>
  </r>
  <r>
    <n v="41"/>
    <n v="41"/>
    <x v="40"/>
    <s v="345901005049974"/>
    <s v="205913841"/>
    <x v="40"/>
    <s v="205913841"/>
    <s v="358222059138410"/>
    <x v="1"/>
    <x v="6"/>
    <x v="1"/>
    <x v="0"/>
    <x v="0"/>
    <m/>
    <n v="1"/>
    <m/>
    <m/>
    <m/>
  </r>
  <r>
    <n v="42"/>
    <n v="42"/>
    <x v="41"/>
    <s v="345901005049609"/>
    <s v="205913843"/>
    <x v="41"/>
    <s v="205913843"/>
    <s v="358222059138436"/>
    <x v="1"/>
    <x v="6"/>
    <x v="1"/>
    <x v="0"/>
    <x v="0"/>
    <m/>
    <n v="1"/>
    <m/>
    <m/>
    <m/>
  </r>
  <r>
    <n v="43"/>
    <n v="43"/>
    <x v="42"/>
    <s v="345901005018212"/>
    <s v="862193027100577"/>
    <x v="42"/>
    <s v="862193027100577"/>
    <s v="862193027100577"/>
    <x v="3"/>
    <x v="4"/>
    <x v="0"/>
    <x v="0"/>
    <x v="0"/>
    <m/>
    <n v="1"/>
    <m/>
    <m/>
    <m/>
  </r>
  <r>
    <n v="44"/>
    <n v="44"/>
    <x v="43"/>
    <s v="345901005049590"/>
    <s v="205913845"/>
    <x v="43"/>
    <s v="205913845"/>
    <s v="358222059138451"/>
    <x v="1"/>
    <x v="6"/>
    <x v="1"/>
    <x v="0"/>
    <x v="0"/>
    <m/>
    <n v="1"/>
    <m/>
    <m/>
    <m/>
  </r>
  <r>
    <n v="45"/>
    <n v="45"/>
    <x v="44"/>
    <s v="345901005071403"/>
    <s v="205913842"/>
    <x v="44"/>
    <s v="205913842"/>
    <s v="358222059138428"/>
    <x v="1"/>
    <x v="6"/>
    <x v="1"/>
    <x v="0"/>
    <x v="0"/>
    <m/>
    <n v="1"/>
    <m/>
    <m/>
    <m/>
  </r>
  <r>
    <n v="46"/>
    <n v="46"/>
    <x v="45"/>
    <s v="345901005015623"/>
    <s v="1631174727"/>
    <x v="45"/>
    <s v="1631174727"/>
    <s v="356614028649299"/>
    <x v="5"/>
    <x v="2"/>
    <x v="0"/>
    <x v="0"/>
    <x v="0"/>
    <m/>
    <n v="1"/>
    <m/>
    <m/>
    <m/>
  </r>
  <r>
    <n v="47"/>
    <n v="47"/>
    <x v="46"/>
    <s v="345901007640127"/>
    <s v="864802030413029"/>
    <x v="46"/>
    <s v="864802030413029"/>
    <s v="864802030413029"/>
    <x v="3"/>
    <x v="20"/>
    <x v="0"/>
    <x v="0"/>
    <x v="0"/>
    <m/>
    <n v="1"/>
    <m/>
    <m/>
    <m/>
  </r>
  <r>
    <n v="48"/>
    <n v="48"/>
    <x v="47"/>
    <s v="345901007636071"/>
    <s v="864802030418853"/>
    <x v="47"/>
    <s v="864802030418853"/>
    <s v="864802030418853"/>
    <x v="3"/>
    <x v="2"/>
    <x v="0"/>
    <x v="0"/>
    <x v="0"/>
    <m/>
    <n v="1"/>
    <m/>
    <m/>
    <m/>
  </r>
  <r>
    <n v="49"/>
    <n v="49"/>
    <x v="48"/>
    <s v="345901007656608"/>
    <s v="205495795"/>
    <x v="48"/>
    <s v="205495795"/>
    <s v="358222054957954"/>
    <x v="1"/>
    <x v="21"/>
    <x v="0"/>
    <x v="0"/>
    <x v="0"/>
    <m/>
    <n v="1"/>
    <m/>
    <m/>
    <m/>
  </r>
  <r>
    <n v="50"/>
    <n v="50"/>
    <x v="49"/>
    <s v="345901007627849"/>
    <s v="008441190"/>
    <x v="49"/>
    <s v="008441190"/>
    <s v="352580084411904"/>
    <x v="6"/>
    <x v="22"/>
    <x v="2"/>
    <x v="0"/>
    <x v="0"/>
    <m/>
    <n v="1"/>
    <m/>
    <m/>
    <m/>
  </r>
  <r>
    <n v="51"/>
    <n v="51"/>
    <x v="50"/>
    <s v="345901007685628"/>
    <s v="008508003"/>
    <x v="50"/>
    <s v="008508003"/>
    <s v="352580085080039"/>
    <x v="6"/>
    <x v="15"/>
    <x v="0"/>
    <x v="0"/>
    <x v="0"/>
    <m/>
    <n v="1"/>
    <m/>
    <m/>
    <m/>
  </r>
  <r>
    <n v="52"/>
    <n v="52"/>
    <x v="51"/>
    <s v="345901007643918"/>
    <s v="0470000343"/>
    <x v="51"/>
    <s v="0470000343"/>
    <s v="866425037295286"/>
    <x v="7"/>
    <x v="18"/>
    <x v="0"/>
    <x v="0"/>
    <x v="0"/>
    <m/>
    <n v="1"/>
    <m/>
    <m/>
    <m/>
  </r>
  <r>
    <n v="53"/>
    <n v="53"/>
    <x v="52"/>
    <s v="345901007641530"/>
    <s v="1631174721"/>
    <x v="52"/>
    <s v="1631174721"/>
    <s v="356614028632204"/>
    <x v="5"/>
    <x v="2"/>
    <x v="0"/>
    <x v="0"/>
    <x v="0"/>
    <m/>
    <n v="1"/>
    <m/>
    <m/>
    <m/>
  </r>
  <r>
    <n v="54"/>
    <n v="54"/>
    <x v="53"/>
    <s v="345901007645448"/>
    <s v="1095691"/>
    <x v="53"/>
    <s v="1095691"/>
    <s v="354898042551407"/>
    <x v="8"/>
    <x v="1"/>
    <x v="0"/>
    <x v="0"/>
    <x v="0"/>
    <m/>
    <n v="1"/>
    <m/>
    <m/>
    <m/>
  </r>
  <r>
    <n v="55"/>
    <n v="55"/>
    <x v="54"/>
    <s v="345901007616148"/>
    <s v="0470000195"/>
    <x v="54"/>
    <s v="0470000195"/>
    <s v="866425036865287"/>
    <x v="7"/>
    <x v="23"/>
    <x v="2"/>
    <x v="0"/>
    <x v="0"/>
    <m/>
    <n v="1"/>
    <m/>
    <m/>
    <m/>
  </r>
  <r>
    <n v="56"/>
    <n v="56"/>
    <x v="55"/>
    <s v="345901007656736"/>
    <s v="0470000197"/>
    <x v="55"/>
    <s v="0470000197"/>
    <s v="866425037300680"/>
    <x v="7"/>
    <x v="23"/>
    <x v="2"/>
    <x v="0"/>
    <x v="0"/>
    <m/>
    <n v="1"/>
    <m/>
    <m/>
    <m/>
  </r>
  <r>
    <n v="57"/>
    <n v="57"/>
    <x v="56"/>
    <s v="345901007663437"/>
    <s v="0470000200"/>
    <x v="56"/>
    <s v="0470000200"/>
    <s v="866425037698141"/>
    <x v="7"/>
    <x v="23"/>
    <x v="2"/>
    <x v="0"/>
    <x v="0"/>
    <m/>
    <n v="1"/>
    <m/>
    <m/>
    <m/>
  </r>
  <r>
    <n v="58"/>
    <n v="58"/>
    <x v="57"/>
    <s v="345901009153071"/>
    <s v="863003042114819"/>
    <x v="57"/>
    <s v="863003042114819"/>
    <s v="863003042114819"/>
    <x v="2"/>
    <x v="24"/>
    <x v="0"/>
    <x v="0"/>
    <x v="0"/>
    <m/>
    <n v="1"/>
    <m/>
    <m/>
    <m/>
  </r>
  <r>
    <n v="59"/>
    <n v="59"/>
    <x v="58"/>
    <s v="345901009134928"/>
    <s v="868899043808118"/>
    <x v="58"/>
    <s v="868899043808118"/>
    <s v="868899043808118"/>
    <x v="2"/>
    <x v="22"/>
    <x v="2"/>
    <x v="0"/>
    <x v="0"/>
    <m/>
    <n v="1"/>
    <m/>
    <m/>
    <m/>
  </r>
  <r>
    <n v="60"/>
    <n v="60"/>
    <x v="59"/>
    <s v="345901009149279"/>
    <s v="868899043948781"/>
    <x v="59"/>
    <s v="869530041996717"/>
    <s v="868899043948781"/>
    <x v="2"/>
    <x v="22"/>
    <x v="2"/>
    <x v="0"/>
    <x v="0"/>
    <m/>
    <n v="1"/>
    <m/>
    <m/>
    <m/>
  </r>
  <r>
    <n v="61"/>
    <n v="61"/>
    <x v="60"/>
    <s v="345901009126702"/>
    <s v="868899043828173"/>
    <x v="60"/>
    <s v="869530041979234"/>
    <s v="868899043828173"/>
    <x v="2"/>
    <x v="22"/>
    <x v="2"/>
    <x v="0"/>
    <x v="0"/>
    <m/>
    <n v="1"/>
    <m/>
    <m/>
    <m/>
  </r>
  <r>
    <n v="62"/>
    <n v="62"/>
    <x v="61"/>
    <s v="345901009122561"/>
    <s v="868899043959382"/>
    <x v="61"/>
    <s v="868899043959382"/>
    <s v="868899043959382"/>
    <x v="2"/>
    <x v="6"/>
    <x v="1"/>
    <x v="0"/>
    <x v="0"/>
    <m/>
    <n v="1"/>
    <m/>
    <m/>
    <m/>
  </r>
  <r>
    <n v="63"/>
    <n v="63"/>
    <x v="62"/>
    <s v="345901009400642"/>
    <s v="868899043795372"/>
    <x v="62"/>
    <s v="868899043795372"/>
    <s v="868899043795372"/>
    <x v="2"/>
    <x v="18"/>
    <x v="0"/>
    <x v="0"/>
    <x v="0"/>
    <m/>
    <n v="1"/>
    <m/>
    <m/>
    <m/>
  </r>
  <r>
    <n v="64"/>
    <n v="64"/>
    <x v="63"/>
    <s v="345901005903400"/>
    <s v="356430073534066"/>
    <x v="63"/>
    <s v="007353406"/>
    <s v="356430073534066"/>
    <x v="9"/>
    <x v="25"/>
    <x v="3"/>
    <x v="1"/>
    <x v="0"/>
    <m/>
    <n v="2"/>
    <m/>
    <m/>
    <m/>
  </r>
  <r>
    <n v="65"/>
    <n v="65"/>
    <x v="64"/>
    <s v="345901005875288"/>
    <s v="008441204"/>
    <x v="64"/>
    <s v="008441204"/>
    <s v="352580084412043"/>
    <x v="6"/>
    <x v="7"/>
    <x v="1"/>
    <x v="0"/>
    <x v="0"/>
    <m/>
    <n v="1"/>
    <m/>
    <m/>
    <m/>
  </r>
  <r>
    <n v="66"/>
    <n v="66"/>
    <x v="65"/>
    <s v="345901005888228"/>
    <s v="863830031441658"/>
    <x v="65"/>
    <s v="863830031441658"/>
    <s v="863830031441658"/>
    <x v="3"/>
    <x v="26"/>
    <x v="2"/>
    <x v="0"/>
    <x v="0"/>
    <m/>
    <n v="1"/>
    <m/>
    <m/>
    <m/>
  </r>
  <r>
    <n v="67"/>
    <n v="67"/>
    <x v="66"/>
    <s v="345901005874740"/>
    <s v="008595223"/>
    <x v="66"/>
    <s v="008595223"/>
    <s v="352580085952237"/>
    <x v="6"/>
    <x v="27"/>
    <x v="0"/>
    <x v="0"/>
    <x v="0"/>
    <m/>
    <n v="1"/>
    <m/>
    <m/>
    <m/>
  </r>
  <r>
    <n v="68"/>
    <n v="68"/>
    <x v="67"/>
    <s v="345901005893932"/>
    <s v="007288520"/>
    <x v="67"/>
    <s v="007288520"/>
    <s v="356430072885204"/>
    <x v="1"/>
    <x v="3"/>
    <x v="0"/>
    <x v="0"/>
    <x v="0"/>
    <m/>
    <n v="1"/>
    <m/>
    <m/>
    <m/>
  </r>
  <r>
    <n v="69"/>
    <n v="69"/>
    <x v="68"/>
    <s v="345901005914891"/>
    <s v="868789021809859"/>
    <x v="68"/>
    <s v="868789021809859"/>
    <s v="868789021809859"/>
    <x v="0"/>
    <x v="28"/>
    <x v="0"/>
    <x v="0"/>
    <x v="0"/>
    <m/>
    <n v="1"/>
    <m/>
    <m/>
    <m/>
  </r>
  <r>
    <n v="70"/>
    <n v="70"/>
    <x v="69"/>
    <s v="345901005915212"/>
    <s v="864802030443760"/>
    <x v="69"/>
    <s v="864802030443760"/>
    <s v="864802030443760"/>
    <x v="3"/>
    <x v="10"/>
    <x v="2"/>
    <x v="0"/>
    <x v="0"/>
    <m/>
    <n v="1"/>
    <m/>
    <m/>
    <m/>
  </r>
  <r>
    <n v="71"/>
    <n v="71"/>
    <x v="70"/>
    <s v="345901005875160"/>
    <s v="863830030151068"/>
    <x v="70"/>
    <s v="863830030151068"/>
    <s v="863830030151068"/>
    <x v="3"/>
    <x v="21"/>
    <x v="0"/>
    <x v="0"/>
    <x v="0"/>
    <m/>
    <n v="1"/>
    <m/>
    <m/>
    <m/>
  </r>
  <r>
    <n v="72"/>
    <n v="72"/>
    <x v="71"/>
    <s v="345901005841040"/>
    <s v="863830030146944"/>
    <x v="71"/>
    <s v="863830030146944"/>
    <s v="863830030146944"/>
    <x v="3"/>
    <x v="21"/>
    <x v="0"/>
    <x v="0"/>
    <x v="0"/>
    <m/>
    <n v="1"/>
    <m/>
    <m/>
    <m/>
  </r>
  <r>
    <n v="73"/>
    <n v="73"/>
    <x v="72"/>
    <s v="345901005879082"/>
    <s v="863830031426956"/>
    <x v="72"/>
    <s v="863830031426956"/>
    <s v="863830031426956"/>
    <x v="3"/>
    <x v="17"/>
    <x v="0"/>
    <x v="0"/>
    <x v="0"/>
    <m/>
    <n v="1"/>
    <m/>
    <m/>
    <m/>
  </r>
  <r>
    <n v="74"/>
    <n v="74"/>
    <x v="73"/>
    <s v="345901005909734"/>
    <s v="863830031433739"/>
    <x v="73"/>
    <s v="863830031433739"/>
    <s v="863830031433739"/>
    <x v="3"/>
    <x v="26"/>
    <x v="2"/>
    <x v="0"/>
    <x v="0"/>
    <m/>
    <n v="1"/>
    <m/>
    <m/>
    <m/>
  </r>
  <r>
    <n v="75"/>
    <n v="75"/>
    <x v="74"/>
    <s v="345901005882098"/>
    <s v="863830031438217"/>
    <x v="74"/>
    <s v="863830031438217"/>
    <s v="863830031438217"/>
    <x v="3"/>
    <x v="12"/>
    <x v="0"/>
    <x v="0"/>
    <x v="0"/>
    <m/>
    <n v="1"/>
    <m/>
    <m/>
    <m/>
  </r>
  <r>
    <n v="76"/>
    <n v="76"/>
    <x v="75"/>
    <s v="345901007887420"/>
    <s v="007442030"/>
    <x v="75"/>
    <s v="007442030"/>
    <s v="356430074420307"/>
    <x v="1"/>
    <x v="15"/>
    <x v="0"/>
    <x v="0"/>
    <x v="0"/>
    <m/>
    <n v="1"/>
    <m/>
    <m/>
    <m/>
  </r>
  <r>
    <n v="77"/>
    <n v="77"/>
    <x v="76"/>
    <s v="345901007885597"/>
    <s v="007391151"/>
    <x v="76"/>
    <s v="007391151"/>
    <s v="356430073911512"/>
    <x v="1"/>
    <x v="0"/>
    <x v="0"/>
    <x v="0"/>
    <x v="0"/>
    <m/>
    <n v="1"/>
    <m/>
    <m/>
    <m/>
  </r>
  <r>
    <n v="78"/>
    <n v="78"/>
    <x v="77"/>
    <s v="345901007884776"/>
    <s v="007354271"/>
    <x v="77"/>
    <s v="007354271"/>
    <s v="356430073542713"/>
    <x v="1"/>
    <x v="29"/>
    <x v="0"/>
    <x v="0"/>
    <x v="0"/>
    <m/>
    <n v="1"/>
    <m/>
    <m/>
    <m/>
  </r>
  <r>
    <n v="79"/>
    <n v="79"/>
    <x v="78"/>
    <s v="345901007841498"/>
    <s v="007391816"/>
    <x v="78"/>
    <s v="007391816"/>
    <s v="356430073918160"/>
    <x v="1"/>
    <x v="13"/>
    <x v="2"/>
    <x v="0"/>
    <x v="0"/>
    <m/>
    <n v="1"/>
    <m/>
    <m/>
    <m/>
  </r>
  <r>
    <n v="80"/>
    <n v="80"/>
    <x v="79"/>
    <s v="345901007887289"/>
    <s v="007391817"/>
    <x v="79"/>
    <s v="007391817"/>
    <s v="356430073918178"/>
    <x v="1"/>
    <x v="13"/>
    <x v="2"/>
    <x v="0"/>
    <x v="0"/>
    <m/>
    <n v="1"/>
    <m/>
    <m/>
    <m/>
  </r>
  <r>
    <n v="81"/>
    <n v="81"/>
    <x v="80"/>
    <s v="345901007840852"/>
    <s v="007391801"/>
    <x v="80"/>
    <s v="007391801"/>
    <s v="356430073918012"/>
    <x v="1"/>
    <x v="9"/>
    <x v="2"/>
    <x v="0"/>
    <x v="0"/>
    <m/>
    <n v="1"/>
    <m/>
    <m/>
    <m/>
  </r>
  <r>
    <n v="82"/>
    <n v="82"/>
    <x v="81"/>
    <s v="345901007872003"/>
    <s v="007391803"/>
    <x v="81"/>
    <s v="007391803"/>
    <s v="356430073918038"/>
    <x v="1"/>
    <x v="7"/>
    <x v="1"/>
    <x v="0"/>
    <x v="0"/>
    <m/>
    <n v="1"/>
    <m/>
    <m/>
    <m/>
  </r>
  <r>
    <n v="83"/>
    <n v="83"/>
    <x v="82"/>
    <s v="345901007880369"/>
    <s v="356430073910134"/>
    <x v="82"/>
    <s v="007391013"/>
    <s v="356430073910134"/>
    <x v="9"/>
    <x v="30"/>
    <x v="3"/>
    <x v="1"/>
    <x v="0"/>
    <m/>
    <n v="2"/>
    <m/>
    <m/>
    <m/>
  </r>
  <r>
    <n v="84"/>
    <n v="84"/>
    <x v="83"/>
    <s v="345901007868778"/>
    <s v="356430073910142"/>
    <x v="83"/>
    <s v="007391014"/>
    <s v="356430073910142"/>
    <x v="9"/>
    <x v="30"/>
    <x v="3"/>
    <x v="1"/>
    <x v="0"/>
    <m/>
    <n v="2"/>
    <m/>
    <m/>
    <m/>
  </r>
  <r>
    <n v="85"/>
    <n v="85"/>
    <x v="84"/>
    <s v="345901007918901"/>
    <s v="007354274"/>
    <x v="84"/>
    <s v="007354274"/>
    <s v="356430073542747"/>
    <x v="1"/>
    <x v="19"/>
    <x v="0"/>
    <x v="0"/>
    <x v="0"/>
    <m/>
    <n v="1"/>
    <m/>
    <m/>
    <m/>
  </r>
  <r>
    <n v="86"/>
    <n v="86"/>
    <x v="85"/>
    <s v="345901007838992"/>
    <s v="869530041910833"/>
    <x v="36"/>
    <s v="869530041910833"/>
    <s v="869530041910833"/>
    <x v="2"/>
    <x v="29"/>
    <x v="0"/>
    <x v="0"/>
    <x v="0"/>
    <m/>
    <n v="1"/>
    <m/>
    <m/>
    <m/>
  </r>
  <r>
    <n v="87"/>
    <n v="87"/>
    <x v="86"/>
    <s v="345901007843345"/>
    <s v="863003042125336"/>
    <x v="85"/>
    <s v="863003042125336"/>
    <s v="863003042125336"/>
    <x v="4"/>
    <x v="20"/>
    <x v="0"/>
    <x v="0"/>
    <x v="0"/>
    <m/>
    <n v="1"/>
    <m/>
    <m/>
    <m/>
  </r>
  <r>
    <n v="88"/>
    <n v="88"/>
    <x v="87"/>
    <s v="345901007889997"/>
    <s v="1631173990"/>
    <x v="86"/>
    <s v="1631173990"/>
    <s v="356614028126025"/>
    <x v="5"/>
    <x v="3"/>
    <x v="0"/>
    <x v="0"/>
    <x v="0"/>
    <m/>
    <n v="1"/>
    <m/>
    <m/>
    <m/>
  </r>
  <r>
    <n v="89"/>
    <n v="89"/>
    <x v="88"/>
    <s v="345901007842931"/>
    <s v="864802030384006"/>
    <x v="87"/>
    <s v="864802030384006"/>
    <s v="864802030384006"/>
    <x v="10"/>
    <x v="23"/>
    <x v="2"/>
    <x v="0"/>
    <x v="0"/>
    <m/>
    <n v="1"/>
    <m/>
    <m/>
    <m/>
  </r>
  <r>
    <n v="90"/>
    <n v="90"/>
    <x v="89"/>
    <s v="345901007865266"/>
    <s v="864802030312908"/>
    <x v="88"/>
    <s v="864802030312908"/>
    <s v="864802030312908"/>
    <x v="10"/>
    <x v="23"/>
    <x v="2"/>
    <x v="0"/>
    <x v="0"/>
    <m/>
    <n v="1"/>
    <m/>
    <m/>
    <m/>
  </r>
  <r>
    <n v="91"/>
    <n v="91"/>
    <x v="90"/>
    <s v="345901007890637"/>
    <s v="205929247"/>
    <x v="89"/>
    <s v="205929247"/>
    <s v="358222059292472"/>
    <x v="1"/>
    <x v="23"/>
    <x v="2"/>
    <x v="0"/>
    <x v="0"/>
    <m/>
    <n v="1"/>
    <m/>
    <m/>
    <m/>
  </r>
  <r>
    <n v="92"/>
    <n v="92"/>
    <x v="91"/>
    <s v="345901007880174"/>
    <s v="863286020813847"/>
    <x v="90"/>
    <s v="863286020813847"/>
    <s v="863286020813847"/>
    <x v="0"/>
    <x v="23"/>
    <x v="2"/>
    <x v="0"/>
    <x v="0"/>
    <m/>
    <n v="1"/>
    <m/>
    <m/>
    <m/>
  </r>
  <r>
    <n v="93"/>
    <n v="93"/>
    <x v="92"/>
    <s v="345901007871880"/>
    <s v="864802030318186"/>
    <x v="91"/>
    <s v="864802030318186"/>
    <s v="864802030318186"/>
    <x v="10"/>
    <x v="23"/>
    <x v="2"/>
    <x v="0"/>
    <x v="0"/>
    <m/>
    <n v="1"/>
    <m/>
    <m/>
    <m/>
  </r>
  <r>
    <n v="94"/>
    <n v="94"/>
    <x v="93"/>
    <s v="345901007871001"/>
    <s v="868789022565666"/>
    <x v="92"/>
    <s v="868789022565666"/>
    <s v="868789022565666"/>
    <x v="0"/>
    <x v="23"/>
    <x v="2"/>
    <x v="0"/>
    <x v="0"/>
    <m/>
    <n v="1"/>
    <m/>
    <m/>
    <m/>
  </r>
  <r>
    <n v="95"/>
    <n v="95"/>
    <x v="94"/>
    <s v="345901007870121"/>
    <s v="864802030331445"/>
    <x v="93"/>
    <s v="864802030331445"/>
    <s v="864802030331445"/>
    <x v="10"/>
    <x v="23"/>
    <x v="2"/>
    <x v="0"/>
    <x v="0"/>
    <m/>
    <n v="1"/>
    <m/>
    <m/>
    <m/>
  </r>
  <r>
    <n v="96"/>
    <n v="96"/>
    <x v="95"/>
    <s v="345901007865078"/>
    <s v="864802030314599"/>
    <x v="94"/>
    <s v="864802030314599"/>
    <s v="864802030314599"/>
    <x v="10"/>
    <x v="31"/>
    <x v="2"/>
    <x v="0"/>
    <x v="0"/>
    <m/>
    <n v="1"/>
    <m/>
    <m/>
    <m/>
  </r>
  <r>
    <n v="97"/>
    <n v="97"/>
    <x v="96"/>
    <s v="345901007842266"/>
    <s v="862193026534339"/>
    <x v="95"/>
    <s v="862193026534339"/>
    <s v="862193026534339"/>
    <x v="3"/>
    <x v="10"/>
    <x v="2"/>
    <x v="0"/>
    <x v="0"/>
    <m/>
    <n v="1"/>
    <m/>
    <m/>
    <m/>
  </r>
  <r>
    <n v="98"/>
    <n v="98"/>
    <x v="97"/>
    <s v="345901007840218"/>
    <s v="863830031811629"/>
    <x v="96"/>
    <s v="863830031811629"/>
    <s v="863830031811629"/>
    <x v="3"/>
    <x v="2"/>
    <x v="0"/>
    <x v="0"/>
    <x v="0"/>
    <m/>
    <n v="1"/>
    <m/>
    <m/>
    <m/>
  </r>
  <r>
    <n v="99"/>
    <n v="99"/>
    <x v="98"/>
    <s v="345901007901926"/>
    <s v="867688038832253"/>
    <x v="97"/>
    <s v="867688038832253"/>
    <s v="867688038832253"/>
    <x v="4"/>
    <x v="16"/>
    <x v="0"/>
    <x v="0"/>
    <x v="0"/>
    <m/>
    <n v="1"/>
    <m/>
    <m/>
    <m/>
  </r>
  <r>
    <n v="100"/>
    <n v="100"/>
    <x v="99"/>
    <s v="345901007857105"/>
    <s v="867688038831875"/>
    <x v="98"/>
    <s v="867688038831875"/>
    <s v="867688038831875"/>
    <x v="4"/>
    <x v="32"/>
    <x v="0"/>
    <x v="0"/>
    <x v="0"/>
    <m/>
    <n v="1"/>
    <m/>
    <m/>
    <m/>
  </r>
  <r>
    <n v="101"/>
    <n v="101"/>
    <x v="100"/>
    <s v="345901009152138"/>
    <s v="868899043895958"/>
    <x v="99"/>
    <s v="868899043895958"/>
    <s v="868899043895958"/>
    <x v="4"/>
    <x v="33"/>
    <x v="0"/>
    <x v="0"/>
    <x v="0"/>
    <m/>
    <n v="1"/>
    <m/>
    <m/>
    <m/>
  </r>
  <r>
    <n v="102"/>
    <n v="102"/>
    <x v="101"/>
    <s v="345901009377660"/>
    <s v="868899043962097"/>
    <x v="100"/>
    <s v="868899043962097"/>
    <s v="868899043962097"/>
    <x v="2"/>
    <x v="18"/>
    <x v="0"/>
    <x v="0"/>
    <x v="0"/>
    <m/>
    <n v="1"/>
    <m/>
    <m/>
    <m/>
  </r>
  <r>
    <n v="103"/>
    <n v="103"/>
    <x v="102"/>
    <s v="345901007881009"/>
    <s v="863830031811546"/>
    <x v="101"/>
    <s v="863830031811546"/>
    <s v="863830031811546"/>
    <x v="3"/>
    <x v="34"/>
    <x v="0"/>
    <x v="0"/>
    <x v="0"/>
    <m/>
    <n v="1"/>
    <m/>
    <m/>
    <m/>
  </r>
  <r>
    <n v="104"/>
    <n v="104"/>
    <x v="103"/>
    <s v="345901007849287"/>
    <s v="007354146"/>
    <x v="102"/>
    <s v="007354146"/>
    <s v="356430073541467"/>
    <x v="1"/>
    <x v="35"/>
    <x v="0"/>
    <x v="0"/>
    <x v="0"/>
    <m/>
    <n v="1"/>
    <m/>
    <m/>
    <m/>
  </r>
  <r>
    <n v="105"/>
    <n v="105"/>
    <x v="104"/>
    <s v="345901007873411"/>
    <s v="007354147"/>
    <x v="103"/>
    <s v="007354147"/>
    <s v="356430073541475"/>
    <x v="1"/>
    <x v="6"/>
    <x v="1"/>
    <x v="0"/>
    <x v="0"/>
    <m/>
    <n v="1"/>
    <m/>
    <m/>
    <m/>
  </r>
  <r>
    <n v="106"/>
    <n v="106"/>
    <x v="105"/>
    <s v="345901007843975"/>
    <s v="863830030008839"/>
    <x v="104"/>
    <s v="863830030008839"/>
    <s v="863830030008839"/>
    <x v="3"/>
    <x v="36"/>
    <x v="0"/>
    <x v="0"/>
    <x v="0"/>
    <m/>
    <n v="1"/>
    <m/>
    <m/>
    <m/>
  </r>
  <r>
    <n v="107"/>
    <n v="107"/>
    <x v="106"/>
    <s v="345901007849031"/>
    <s v="863830030008854"/>
    <x v="105"/>
    <s v="863830030008854"/>
    <s v="863830030008854"/>
    <x v="3"/>
    <x v="37"/>
    <x v="0"/>
    <x v="0"/>
    <x v="0"/>
    <m/>
    <n v="1"/>
    <m/>
    <m/>
    <m/>
  </r>
  <r>
    <n v="108"/>
    <n v="108"/>
    <x v="107"/>
    <s v="345901007898726"/>
    <s v="862193026533331"/>
    <x v="106"/>
    <s v="862193026533331"/>
    <s v="862193026533331"/>
    <x v="3"/>
    <x v="37"/>
    <x v="0"/>
    <x v="0"/>
    <x v="0"/>
    <m/>
    <n v="1"/>
    <m/>
    <m/>
    <m/>
  </r>
  <r>
    <n v="109"/>
    <n v="109"/>
    <x v="108"/>
    <s v="345901007885055"/>
    <s v="007519365"/>
    <x v="107"/>
    <s v="007519365"/>
    <s v="356430075193655"/>
    <x v="1"/>
    <x v="38"/>
    <x v="0"/>
    <x v="0"/>
    <x v="0"/>
    <m/>
    <n v="1"/>
    <m/>
    <m/>
    <m/>
  </r>
  <r>
    <n v="110"/>
    <n v="110"/>
    <x v="109"/>
    <s v="345901007874563"/>
    <s v="867688038832287"/>
    <x v="108"/>
    <s v="867688038832287"/>
    <s v="867688038832287"/>
    <x v="2"/>
    <x v="37"/>
    <x v="0"/>
    <x v="0"/>
    <x v="0"/>
    <m/>
    <n v="1"/>
    <m/>
    <m/>
    <m/>
  </r>
  <r>
    <n v="111"/>
    <n v="111"/>
    <x v="110"/>
    <s v="345901007875096"/>
    <s v="867688038854844"/>
    <x v="109"/>
    <s v="867688038854844"/>
    <s v="867688038854844"/>
    <x v="4"/>
    <x v="6"/>
    <x v="1"/>
    <x v="0"/>
    <x v="0"/>
    <m/>
    <n v="1"/>
    <m/>
    <m/>
    <m/>
  </r>
  <r>
    <n v="112"/>
    <n v="112"/>
    <x v="111"/>
    <s v="345901007906508"/>
    <s v="007498512"/>
    <x v="110"/>
    <s v="007498512"/>
    <s v="356430074985127"/>
    <x v="1"/>
    <x v="38"/>
    <x v="0"/>
    <x v="0"/>
    <x v="0"/>
    <m/>
    <n v="1"/>
    <m/>
    <m/>
    <m/>
  </r>
  <r>
    <n v="113"/>
    <n v="113"/>
    <x v="112"/>
    <s v="345901007884459"/>
    <s v="007498514"/>
    <x v="111"/>
    <s v="007498514"/>
    <s v="356430074985143"/>
    <x v="1"/>
    <x v="38"/>
    <x v="0"/>
    <x v="0"/>
    <x v="0"/>
    <m/>
    <n v="1"/>
    <m/>
    <m/>
    <m/>
  </r>
  <r>
    <n v="114"/>
    <n v="114"/>
    <x v="113"/>
    <s v="345901007855593"/>
    <s v="007498540"/>
    <x v="112"/>
    <s v="007498540"/>
    <s v="356430074985408"/>
    <x v="1"/>
    <x v="38"/>
    <x v="0"/>
    <x v="0"/>
    <x v="0"/>
    <m/>
    <n v="1"/>
    <m/>
    <m/>
    <m/>
  </r>
  <r>
    <n v="115"/>
    <n v="115"/>
    <x v="114"/>
    <s v="345901007841610"/>
    <s v="007498511"/>
    <x v="113"/>
    <s v="007498511"/>
    <s v="356430074985119"/>
    <x v="1"/>
    <x v="38"/>
    <x v="0"/>
    <x v="0"/>
    <x v="0"/>
    <m/>
    <n v="1"/>
    <m/>
    <m/>
    <m/>
  </r>
  <r>
    <n v="116"/>
    <n v="116"/>
    <x v="115"/>
    <s v="345901007898304"/>
    <s v="007498513"/>
    <x v="114"/>
    <s v="007498513"/>
    <s v="356430074985135"/>
    <x v="1"/>
    <x v="38"/>
    <x v="0"/>
    <x v="0"/>
    <x v="0"/>
    <m/>
    <n v="1"/>
    <m/>
    <m/>
    <m/>
  </r>
  <r>
    <n v="117"/>
    <n v="117"/>
    <x v="116"/>
    <s v="345901005505171"/>
    <s v="863830030158568"/>
    <x v="115"/>
    <s v="863830030158568"/>
    <s v="863830030158568"/>
    <x v="3"/>
    <x v="10"/>
    <x v="2"/>
    <x v="0"/>
    <x v="0"/>
    <m/>
    <n v="1"/>
    <m/>
    <m/>
    <m/>
  </r>
  <r>
    <n v="118"/>
    <n v="118"/>
    <x v="117"/>
    <s v="345901005041330"/>
    <s v="863830030007294"/>
    <x v="116"/>
    <s v="863830030007294"/>
    <s v="863830030007294"/>
    <x v="3"/>
    <x v="6"/>
    <x v="1"/>
    <x v="0"/>
    <x v="0"/>
    <m/>
    <n v="1"/>
    <m/>
    <m/>
    <m/>
  </r>
  <r>
    <n v="119"/>
    <n v="119"/>
    <x v="118"/>
    <s v="345901005509536"/>
    <s v="868789022706302"/>
    <x v="117"/>
    <s v="868789022706302"/>
    <s v="868789022706302"/>
    <x v="0"/>
    <x v="0"/>
    <x v="0"/>
    <x v="0"/>
    <x v="0"/>
    <m/>
    <n v="1"/>
    <m/>
    <m/>
    <m/>
  </r>
  <r>
    <n v="120"/>
    <n v="120"/>
    <x v="119"/>
    <s v="345901005511598"/>
    <s v="863830030150847"/>
    <x v="118"/>
    <s v="863830030150847"/>
    <s v="863830030150847"/>
    <x v="3"/>
    <x v="9"/>
    <x v="2"/>
    <x v="0"/>
    <x v="0"/>
    <m/>
    <n v="1"/>
    <m/>
    <m/>
    <m/>
  </r>
  <r>
    <n v="121"/>
    <n v="121"/>
    <x v="120"/>
    <s v="345901005524447"/>
    <s v="863830030044677"/>
    <x v="119"/>
    <s v="863830030044677"/>
    <s v="863830030044677"/>
    <x v="3"/>
    <x v="37"/>
    <x v="0"/>
    <x v="0"/>
    <x v="0"/>
    <m/>
    <n v="1"/>
    <m/>
    <m/>
    <m/>
  </r>
  <r>
    <n v="122"/>
    <n v="122"/>
    <x v="121"/>
    <s v="345901005476829"/>
    <s v="862193027800473"/>
    <x v="120"/>
    <s v="862193027800473"/>
    <s v="862193027800473"/>
    <x v="3"/>
    <x v="12"/>
    <x v="0"/>
    <x v="0"/>
    <x v="0"/>
    <m/>
    <n v="1"/>
    <m/>
    <m/>
    <m/>
  </r>
  <r>
    <n v="123"/>
    <n v="123"/>
    <x v="122"/>
    <s v="345901005495252"/>
    <s v="862193020685533"/>
    <x v="121"/>
    <s v="862193020685533"/>
    <s v="862193020685533"/>
    <x v="3"/>
    <x v="39"/>
    <x v="0"/>
    <x v="0"/>
    <x v="0"/>
    <m/>
    <n v="1"/>
    <m/>
    <m/>
    <m/>
  </r>
  <r>
    <n v="124"/>
    <n v="124"/>
    <x v="123"/>
    <s v="345901005515513"/>
    <s v="868789023141020"/>
    <x v="122"/>
    <s v="868789023141020"/>
    <s v="868789023141020"/>
    <x v="0"/>
    <x v="9"/>
    <x v="2"/>
    <x v="0"/>
    <x v="0"/>
    <m/>
    <n v="1"/>
    <m/>
    <m/>
    <m/>
  </r>
  <r>
    <n v="125"/>
    <n v="125"/>
    <x v="124"/>
    <s v="345901005506732"/>
    <s v="863830030151175"/>
    <x v="123"/>
    <s v="863830030151175"/>
    <s v="863830030151175"/>
    <x v="3"/>
    <x v="10"/>
    <x v="2"/>
    <x v="0"/>
    <x v="0"/>
    <m/>
    <n v="1"/>
    <m/>
    <m/>
    <m/>
  </r>
  <r>
    <n v="126"/>
    <n v="126"/>
    <x v="125"/>
    <s v="345901005498628"/>
    <s v="862193026898866"/>
    <x v="124"/>
    <s v="862193026898866"/>
    <s v="862193026898866"/>
    <x v="3"/>
    <x v="9"/>
    <x v="2"/>
    <x v="0"/>
    <x v="0"/>
    <m/>
    <n v="1"/>
    <m/>
    <m/>
    <m/>
  </r>
  <r>
    <n v="127"/>
    <n v="127"/>
    <x v="126"/>
    <s v="345901005519614"/>
    <s v="863830030133694"/>
    <x v="125"/>
    <s v="863830030133694"/>
    <s v="863830030133694"/>
    <x v="3"/>
    <x v="17"/>
    <x v="0"/>
    <x v="0"/>
    <x v="0"/>
    <m/>
    <n v="1"/>
    <m/>
    <m/>
    <m/>
  </r>
  <r>
    <n v="128"/>
    <n v="128"/>
    <x v="127"/>
    <s v="345901005488216"/>
    <s v="008598594"/>
    <x v="126"/>
    <s v="008598594"/>
    <s v="352580085985948"/>
    <x v="6"/>
    <x v="40"/>
    <x v="0"/>
    <x v="0"/>
    <x v="0"/>
    <m/>
    <n v="1"/>
    <m/>
    <m/>
    <m/>
  </r>
  <r>
    <n v="129"/>
    <n v="129"/>
    <x v="128"/>
    <s v="345901005492437"/>
    <s v="007000096"/>
    <x v="127"/>
    <s v="007000096"/>
    <s v="356430070000962"/>
    <x v="1"/>
    <x v="41"/>
    <x v="0"/>
    <x v="0"/>
    <x v="0"/>
    <m/>
    <n v="1"/>
    <m/>
    <m/>
    <m/>
  </r>
  <r>
    <n v="130"/>
    <n v="130"/>
    <x v="129"/>
    <s v="345901005543339"/>
    <s v="863830030046987"/>
    <x v="128"/>
    <s v="863830030046987"/>
    <s v="863830030046987"/>
    <x v="3"/>
    <x v="37"/>
    <x v="0"/>
    <x v="0"/>
    <x v="0"/>
    <m/>
    <n v="1"/>
    <m/>
    <m/>
    <m/>
  </r>
  <r>
    <n v="131"/>
    <n v="131"/>
    <x v="130"/>
    <s v="345901008506032"/>
    <s v="863003042095091"/>
    <x v="129"/>
    <s v="863003042095091"/>
    <s v="863003042095091"/>
    <x v="4"/>
    <x v="15"/>
    <x v="0"/>
    <x v="0"/>
    <x v="0"/>
    <m/>
    <n v="1"/>
    <m/>
    <m/>
    <m/>
  </r>
  <r>
    <n v="132"/>
    <n v="132"/>
    <x v="131"/>
    <s v="345901008538588"/>
    <s v="863003042119388"/>
    <x v="130"/>
    <s v="863003042119388"/>
    <s v="863003042119388"/>
    <x v="4"/>
    <x v="6"/>
    <x v="1"/>
    <x v="0"/>
    <x v="0"/>
    <m/>
    <n v="1"/>
    <m/>
    <m/>
    <m/>
  </r>
  <r>
    <n v="133"/>
    <n v="133"/>
    <x v="132"/>
    <s v="345901008498342"/>
    <s v="863003042130930"/>
    <x v="131"/>
    <s v="863003042130930"/>
    <s v="863003042130930"/>
    <x v="4"/>
    <x v="37"/>
    <x v="0"/>
    <x v="0"/>
    <x v="0"/>
    <m/>
    <n v="1"/>
    <m/>
    <m/>
    <m/>
  </r>
  <r>
    <n v="134"/>
    <n v="134"/>
    <x v="133"/>
    <s v="345901008518572"/>
    <s v="868899048936286"/>
    <x v="132"/>
    <s v="868899048936286"/>
    <s v="868899048936286"/>
    <x v="4"/>
    <x v="33"/>
    <x v="0"/>
    <x v="0"/>
    <x v="0"/>
    <m/>
    <n v="1"/>
    <m/>
    <m/>
    <m/>
  </r>
  <r>
    <n v="135"/>
    <n v="135"/>
    <x v="134"/>
    <s v="345901008515489"/>
    <s v="868899048943886"/>
    <x v="133"/>
    <s v="868899048943886"/>
    <s v="868899048943886"/>
    <x v="4"/>
    <x v="37"/>
    <x v="0"/>
    <x v="0"/>
    <x v="0"/>
    <m/>
    <n v="1"/>
    <m/>
    <m/>
    <m/>
  </r>
  <r>
    <n v="136"/>
    <n v="136"/>
    <x v="135"/>
    <s v="345901008532717"/>
    <s v="868899048942482"/>
    <x v="134"/>
    <s v="868899048942482"/>
    <s v="868899048942482"/>
    <x v="4"/>
    <x v="31"/>
    <x v="2"/>
    <x v="0"/>
    <x v="0"/>
    <m/>
    <n v="1"/>
    <m/>
    <m/>
    <m/>
  </r>
  <r>
    <n v="137"/>
    <n v="137"/>
    <x v="136"/>
    <s v="345901008536765"/>
    <s v="867688033155452"/>
    <x v="135"/>
    <s v="867688033155452"/>
    <s v="867688033155452"/>
    <x v="4"/>
    <x v="31"/>
    <x v="2"/>
    <x v="0"/>
    <x v="0"/>
    <m/>
    <n v="1"/>
    <m/>
    <m/>
    <m/>
  </r>
  <r>
    <n v="138"/>
    <n v="138"/>
    <x v="137"/>
    <s v="345901008501544"/>
    <s v="868899048940619"/>
    <x v="136"/>
    <s v="868899048940619"/>
    <s v="868899048940619"/>
    <x v="2"/>
    <x v="23"/>
    <x v="2"/>
    <x v="0"/>
    <x v="0"/>
    <m/>
    <n v="1"/>
    <m/>
    <m/>
    <m/>
  </r>
  <r>
    <n v="139"/>
    <n v="139"/>
    <x v="138"/>
    <s v="345901008500481"/>
    <s v="868899048947689"/>
    <x v="137"/>
    <s v="868899048947689"/>
    <s v="868899048947689"/>
    <x v="4"/>
    <x v="31"/>
    <x v="2"/>
    <x v="0"/>
    <x v="0"/>
    <m/>
    <n v="1"/>
    <m/>
    <m/>
    <m/>
  </r>
  <r>
    <n v="140"/>
    <n v="140"/>
    <x v="139"/>
    <s v="345901008532845"/>
    <s v="868899049005313"/>
    <x v="138"/>
    <s v="868899049005313"/>
    <s v="868899049005313"/>
    <x v="4"/>
    <x v="31"/>
    <x v="2"/>
    <x v="0"/>
    <x v="0"/>
    <m/>
    <n v="1"/>
    <m/>
    <m/>
    <m/>
  </r>
  <r>
    <n v="141"/>
    <n v="141"/>
    <x v="140"/>
    <s v="345901008486340"/>
    <s v="868899048991463"/>
    <x v="139"/>
    <s v="868899048991463"/>
    <s v="868899048991463"/>
    <x v="4"/>
    <x v="42"/>
    <x v="0"/>
    <x v="0"/>
    <x v="0"/>
    <m/>
    <n v="1"/>
    <m/>
    <m/>
    <m/>
  </r>
  <r>
    <n v="142"/>
    <n v="142"/>
    <x v="141"/>
    <s v="345901008500610"/>
    <s v="868899048991067"/>
    <x v="140"/>
    <s v="868899048991067"/>
    <s v="868899048991067"/>
    <x v="4"/>
    <x v="7"/>
    <x v="1"/>
    <x v="0"/>
    <x v="0"/>
    <m/>
    <n v="1"/>
    <m/>
    <m/>
    <m/>
  </r>
  <r>
    <n v="143"/>
    <n v="143"/>
    <x v="142"/>
    <s v="345901008528968"/>
    <s v="869530041391406"/>
    <x v="141"/>
    <s v="869530041391406"/>
    <s v="869530041391406"/>
    <x v="4"/>
    <x v="1"/>
    <x v="0"/>
    <x v="0"/>
    <x v="0"/>
    <m/>
    <n v="1"/>
    <m/>
    <m/>
    <m/>
  </r>
  <r>
    <n v="144"/>
    <n v="144"/>
    <x v="143"/>
    <s v="345901008502185"/>
    <s v="868899048991315"/>
    <x v="142"/>
    <s v="868899048991315"/>
    <s v="868899048991315"/>
    <x v="4"/>
    <x v="1"/>
    <x v="0"/>
    <x v="0"/>
    <x v="0"/>
    <m/>
    <n v="1"/>
    <m/>
    <m/>
    <m/>
  </r>
  <r>
    <n v="145"/>
    <n v="145"/>
    <x v="144"/>
    <s v="345901008523129"/>
    <s v="869530041997228"/>
    <x v="143"/>
    <s v="869530041997228"/>
    <s v="869530041997228"/>
    <x v="2"/>
    <x v="31"/>
    <x v="2"/>
    <x v="0"/>
    <x v="0"/>
    <m/>
    <n v="1"/>
    <m/>
    <m/>
    <m/>
  </r>
  <r>
    <n v="146"/>
    <n v="146"/>
    <x v="145"/>
    <s v="345901008497268"/>
    <s v="869530041909918"/>
    <x v="144"/>
    <s v="869530041909918"/>
    <s v="869530041909918"/>
    <x v="4"/>
    <x v="31"/>
    <x v="2"/>
    <x v="0"/>
    <x v="0"/>
    <m/>
    <n v="1"/>
    <m/>
    <m/>
    <m/>
  </r>
  <r>
    <n v="147"/>
    <n v="147"/>
    <x v="146"/>
    <s v="345901008479867"/>
    <s v="869530041979234"/>
    <x v="145"/>
    <s v="869530041979234"/>
    <s v="869530041979234"/>
    <x v="2"/>
    <x v="23"/>
    <x v="2"/>
    <x v="0"/>
    <x v="0"/>
    <m/>
    <n v="1"/>
    <m/>
    <m/>
    <m/>
  </r>
  <r>
    <n v="148"/>
    <n v="148"/>
    <x v="147"/>
    <s v="345901009410842"/>
    <s v="869530041360799"/>
    <x v="146"/>
    <s v="869530041360799"/>
    <s v="869530041360799"/>
    <x v="4"/>
    <x v="17"/>
    <x v="0"/>
    <x v="0"/>
    <x v="0"/>
    <m/>
    <n v="1"/>
    <m/>
    <m/>
    <m/>
  </r>
  <r>
    <n v="149"/>
    <n v="149"/>
    <x v="148"/>
    <s v="345901008531144"/>
    <s v="869530041996865"/>
    <x v="147"/>
    <s v="869530041996865"/>
    <s v="869530041996865"/>
    <x v="2"/>
    <x v="31"/>
    <x v="2"/>
    <x v="0"/>
    <x v="0"/>
    <m/>
    <n v="1"/>
    <m/>
    <m/>
    <m/>
  </r>
  <r>
    <n v="150"/>
    <n v="150"/>
    <x v="149"/>
    <s v="345901008531272"/>
    <s v="869530041996717"/>
    <x v="148"/>
    <s v="869530041996717"/>
    <s v="869530041996717"/>
    <x v="2"/>
    <x v="26"/>
    <x v="2"/>
    <x v="0"/>
    <x v="0"/>
    <m/>
    <n v="1"/>
    <m/>
    <m/>
    <m/>
  </r>
  <r>
    <n v="151"/>
    <n v="151"/>
    <x v="150"/>
    <s v="345901008507139"/>
    <s v="869530041986098"/>
    <x v="149"/>
    <s v="869530041986098"/>
    <s v="869530041986098"/>
    <x v="2"/>
    <x v="23"/>
    <x v="2"/>
    <x v="0"/>
    <x v="0"/>
    <m/>
    <n v="1"/>
    <m/>
    <m/>
    <m/>
  </r>
  <r>
    <n v="152"/>
    <n v="152"/>
    <x v="151"/>
    <s v="345901008524031"/>
    <s v="869530045121833"/>
    <x v="150"/>
    <s v="869530045121833"/>
    <s v="869530045121833"/>
    <x v="2"/>
    <x v="7"/>
    <x v="1"/>
    <x v="0"/>
    <x v="0"/>
    <m/>
    <n v="1"/>
    <m/>
    <m/>
    <m/>
  </r>
  <r>
    <n v="153"/>
    <n v="153"/>
    <x v="152"/>
    <s v="345901008523149"/>
    <s v="869530045147630"/>
    <x v="151"/>
    <s v="869530045147630"/>
    <s v="869530045147630"/>
    <x v="2"/>
    <x v="23"/>
    <x v="2"/>
    <x v="0"/>
    <x v="0"/>
    <m/>
    <n v="1"/>
    <m/>
    <m/>
    <m/>
  </r>
  <r>
    <n v="154"/>
    <n v="154"/>
    <x v="153"/>
    <s v="345901012003855"/>
    <s v="869530041367307"/>
    <x v="152"/>
    <s v="869530041367307"/>
    <s v="869530041367307"/>
    <x v="2"/>
    <x v="37"/>
    <x v="0"/>
    <x v="0"/>
    <x v="0"/>
    <m/>
    <n v="1"/>
    <m/>
    <m/>
    <m/>
  </r>
  <r>
    <n v="155"/>
    <n v="155"/>
    <x v="154"/>
    <s v="345901012010271"/>
    <s v="869530041366721"/>
    <x v="153"/>
    <s v="869530041366721"/>
    <s v="869530041366721"/>
    <x v="2"/>
    <x v="6"/>
    <x v="1"/>
    <x v="0"/>
    <x v="0"/>
    <m/>
    <n v="1"/>
    <m/>
    <m/>
    <m/>
  </r>
  <r>
    <n v="156"/>
    <n v="156"/>
    <x v="155"/>
    <s v="345901012003858"/>
    <s v="869530041362985"/>
    <x v="154"/>
    <s v="869530041362985"/>
    <s v="869530041362985"/>
    <x v="2"/>
    <x v="18"/>
    <x v="0"/>
    <x v="0"/>
    <x v="0"/>
    <m/>
    <n v="1"/>
    <m/>
    <m/>
    <m/>
  </r>
  <r>
    <n v="157"/>
    <n v="157"/>
    <x v="156"/>
    <s v="345901012003856"/>
    <s v="869530041415528"/>
    <x v="155"/>
    <s v="869530041415528"/>
    <s v="869530041415528"/>
    <x v="2"/>
    <x v="18"/>
    <x v="0"/>
    <x v="0"/>
    <x v="0"/>
    <m/>
    <n v="1"/>
    <m/>
    <m/>
    <m/>
  </r>
  <r>
    <n v="158"/>
    <n v="158"/>
    <x v="157"/>
    <s v="345901012040225"/>
    <s v="867553059779769"/>
    <x v="105"/>
    <s v="867553059779769"/>
    <s v="867553059779769"/>
    <x v="2"/>
    <x v="43"/>
    <x v="0"/>
    <x v="0"/>
    <x v="0"/>
    <m/>
    <n v="1"/>
    <m/>
    <m/>
    <m/>
  </r>
  <r>
    <n v="159"/>
    <n v="159"/>
    <x v="158"/>
    <s v="345901012040242"/>
    <s v="869530041387412"/>
    <x v="156"/>
    <s v="869530041387412"/>
    <s v="869530041387412"/>
    <x v="2"/>
    <x v="44"/>
    <x v="0"/>
    <x v="0"/>
    <x v="0"/>
    <m/>
    <n v="1"/>
    <m/>
    <m/>
    <m/>
  </r>
  <r>
    <n v="160"/>
    <n v="160"/>
    <x v="159"/>
    <s v="345901012006963"/>
    <s v="869530041977022"/>
    <x v="157"/>
    <s v="869530041977022"/>
    <s v="869530041977022"/>
    <x v="2"/>
    <x v="44"/>
    <x v="0"/>
    <x v="0"/>
    <x v="0"/>
    <m/>
    <n v="1"/>
    <m/>
    <m/>
    <m/>
  </r>
  <r>
    <n v="161"/>
    <n v="161"/>
    <x v="160"/>
    <s v="345901012006964"/>
    <s v="869530041970449"/>
    <x v="158"/>
    <s v="869530041970449"/>
    <s v="869530041970449"/>
    <x v="2"/>
    <x v="44"/>
    <x v="0"/>
    <x v="0"/>
    <x v="0"/>
    <m/>
    <n v="1"/>
    <m/>
    <m/>
    <m/>
  </r>
  <r>
    <n v="162"/>
    <n v="162"/>
    <x v="161"/>
    <s v="345901012006954"/>
    <s v="867553056756984"/>
    <x v="159"/>
    <s v="867553056756984"/>
    <s v="867553056756984"/>
    <x v="2"/>
    <x v="37"/>
    <x v="0"/>
    <x v="0"/>
    <x v="0"/>
    <m/>
    <n v="1"/>
    <m/>
    <m/>
    <m/>
  </r>
  <r>
    <n v="163"/>
    <n v="163"/>
    <x v="162"/>
    <s v="345901012040270"/>
    <s v="867553056757586"/>
    <x v="160"/>
    <s v="867553056757586"/>
    <s v="867553056757586"/>
    <x v="2"/>
    <x v="42"/>
    <x v="0"/>
    <x v="0"/>
    <x v="0"/>
    <m/>
    <n v="1"/>
    <m/>
    <m/>
    <m/>
  </r>
  <r>
    <n v="164"/>
    <n v="164"/>
    <x v="163"/>
    <s v="345901012037695"/>
    <s v="867553056745763"/>
    <x v="161"/>
    <s v="867553056745763"/>
    <s v="867553056745763"/>
    <x v="2"/>
    <x v="45"/>
    <x v="0"/>
    <x v="0"/>
    <x v="0"/>
    <m/>
    <n v="1"/>
    <m/>
    <m/>
    <m/>
  </r>
  <r>
    <n v="165"/>
    <n v="165"/>
    <x v="164"/>
    <s v="345901012035711"/>
    <s v="867553056682925"/>
    <x v="162"/>
    <s v="867553056682925"/>
    <s v="867553056682925"/>
    <x v="2"/>
    <x v="23"/>
    <x v="2"/>
    <x v="0"/>
    <x v="0"/>
    <m/>
    <n v="1"/>
    <m/>
    <m/>
    <m/>
  </r>
  <r>
    <n v="166"/>
    <n v="166"/>
    <x v="165"/>
    <s v="345901012036512"/>
    <s v="867553056682917"/>
    <x v="163"/>
    <s v="867553056682917"/>
    <s v="867553056682917"/>
    <x v="2"/>
    <x v="23"/>
    <x v="2"/>
    <x v="0"/>
    <x v="0"/>
    <m/>
    <n v="1"/>
    <m/>
    <m/>
    <m/>
  </r>
  <r>
    <n v="167"/>
    <n v="167"/>
    <x v="166"/>
    <s v="345901012036508"/>
    <s v="867553056790678"/>
    <x v="164"/>
    <s v="867553056790678"/>
    <s v="867553056790678"/>
    <x v="2"/>
    <x v="23"/>
    <x v="2"/>
    <x v="0"/>
    <x v="0"/>
    <m/>
    <n v="1"/>
    <m/>
    <m/>
    <m/>
  </r>
  <r>
    <n v="168"/>
    <n v="168"/>
    <x v="167"/>
    <s v="345901012036514"/>
    <s v="867553056709272"/>
    <x v="165"/>
    <s v="867553056709272"/>
    <s v="867553056709272"/>
    <x v="2"/>
    <x v="23"/>
    <x v="2"/>
    <x v="0"/>
    <x v="0"/>
    <m/>
    <n v="1"/>
    <m/>
    <m/>
    <m/>
  </r>
  <r>
    <n v="169"/>
    <n v="169"/>
    <x v="168"/>
    <s v="345901012036542"/>
    <s v="867553053336590"/>
    <x v="166"/>
    <s v="867553053336590"/>
    <s v="867553053336590"/>
    <x v="2"/>
    <x v="23"/>
    <x v="2"/>
    <x v="0"/>
    <x v="0"/>
    <m/>
    <n v="1"/>
    <m/>
    <m/>
    <m/>
  </r>
  <r>
    <n v="170"/>
    <n v="170"/>
    <x v="169"/>
    <s v="345901012036018"/>
    <s v="867553059779827"/>
    <x v="167"/>
    <s v="867553059779827"/>
    <s v="867553059779827"/>
    <x v="2"/>
    <x v="23"/>
    <x v="2"/>
    <x v="0"/>
    <x v="0"/>
    <m/>
    <m/>
    <m/>
    <m/>
    <m/>
  </r>
  <r>
    <n v="171"/>
    <n v="171"/>
    <x v="170"/>
    <s v="345901012042505"/>
    <s v="867553059789560"/>
    <x v="168"/>
    <s v="867553059789560"/>
    <s v="867553059789560"/>
    <x v="2"/>
    <x v="23"/>
    <x v="2"/>
    <x v="0"/>
    <x v="0"/>
    <m/>
    <m/>
    <m/>
    <m/>
    <m/>
  </r>
  <r>
    <n v="172"/>
    <n v="172"/>
    <x v="171"/>
    <s v="345901012036017"/>
    <s v="869530043222252"/>
    <x v="169"/>
    <s v="869530043222252"/>
    <s v="869530043222252"/>
    <x v="2"/>
    <x v="31"/>
    <x v="2"/>
    <x v="0"/>
    <x v="0"/>
    <m/>
    <m/>
    <m/>
    <m/>
    <m/>
  </r>
  <r>
    <n v="173"/>
    <n v="173"/>
    <x v="172"/>
    <s v="345901012039213"/>
    <s v="869530043201264"/>
    <x v="170"/>
    <s v="869530043201264"/>
    <s v="869530043201264"/>
    <x v="2"/>
    <x v="23"/>
    <x v="2"/>
    <x v="0"/>
    <x v="0"/>
    <m/>
    <m/>
    <m/>
    <m/>
    <m/>
  </r>
  <r>
    <n v="174"/>
    <n v="174"/>
    <x v="173"/>
    <s v="345901007916235"/>
    <s v="868789026072743"/>
    <x v="171"/>
    <s v="868789026072743"/>
    <s v="868789026072743"/>
    <x v="0"/>
    <x v="1"/>
    <x v="0"/>
    <x v="0"/>
    <x v="0"/>
    <m/>
    <n v="1"/>
    <m/>
    <m/>
    <m/>
  </r>
  <r>
    <n v="175"/>
    <n v="175"/>
    <x v="174"/>
    <s v="345901009097873"/>
    <s v="868899043961891"/>
    <x v="172"/>
    <s v="868899043961891"/>
    <s v="868899043961891"/>
    <x v="4"/>
    <x v="33"/>
    <x v="0"/>
    <x v="0"/>
    <x v="0"/>
    <m/>
    <n v="1"/>
    <m/>
    <m/>
    <m/>
  </r>
  <r>
    <n v="176"/>
    <n v="176"/>
    <x v="175"/>
    <s v="345901009395730"/>
    <s v="867688033154042"/>
    <x v="5"/>
    <s v="867688033154042"/>
    <s v="867688033154042"/>
    <x v="11"/>
    <x v="46"/>
    <x v="0"/>
    <x v="0"/>
    <x v="0"/>
    <m/>
    <m/>
    <m/>
    <m/>
    <m/>
  </r>
  <r>
    <n v="177"/>
    <n v="1"/>
    <x v="176"/>
    <s v="Emnify"/>
    <s v="0680012390"/>
    <x v="173"/>
    <s v="0680012390"/>
    <s v="868923058823521"/>
    <x v="12"/>
    <x v="31"/>
    <x v="2"/>
    <x v="0"/>
    <x v="1"/>
    <m/>
    <n v="1"/>
    <m/>
    <m/>
    <m/>
  </r>
  <r>
    <n v="178"/>
    <n v="2"/>
    <x v="177"/>
    <s v="Emnify"/>
    <s v="0680012388"/>
    <x v="174"/>
    <s v="0680012388"/>
    <s v="868923058819321"/>
    <x v="12"/>
    <x v="31"/>
    <x v="2"/>
    <x v="0"/>
    <x v="1"/>
    <m/>
    <n v="1"/>
    <m/>
    <m/>
    <m/>
  </r>
  <r>
    <n v="179"/>
    <n v="3"/>
    <x v="178"/>
    <s v="Emnify"/>
    <s v="0680012389"/>
    <x v="175"/>
    <s v="0680012389"/>
    <s v="868923058819354"/>
    <x v="12"/>
    <x v="31"/>
    <x v="2"/>
    <x v="0"/>
    <x v="1"/>
    <m/>
    <n v="1"/>
    <m/>
    <m/>
    <m/>
  </r>
  <r>
    <n v="180"/>
    <n v="4"/>
    <x v="179"/>
    <s v="Emnify"/>
    <s v="0680012393"/>
    <x v="176"/>
    <s v="0680012393"/>
    <s v="8689230588344204_x000a_"/>
    <x v="12"/>
    <x v="15"/>
    <x v="0"/>
    <x v="0"/>
    <x v="1"/>
    <m/>
    <n v="1"/>
    <m/>
    <m/>
    <m/>
  </r>
  <r>
    <n v="181"/>
    <n v="5"/>
    <x v="180"/>
    <s v="Emnify"/>
    <s v="0680014136"/>
    <x v="177"/>
    <s v="0680014136"/>
    <s v="868199054680641"/>
    <x v="12"/>
    <x v="31"/>
    <x v="2"/>
    <x v="0"/>
    <x v="1"/>
    <m/>
    <n v="1"/>
    <m/>
    <m/>
    <m/>
  </r>
  <r>
    <n v="182"/>
    <n v="6"/>
    <x v="181"/>
    <s v="Emnify"/>
    <s v="0680014145"/>
    <x v="178"/>
    <s v="0680014145"/>
    <s v="868199054680997"/>
    <x v="12"/>
    <x v="31"/>
    <x v="2"/>
    <x v="0"/>
    <x v="1"/>
    <m/>
    <n v="1"/>
    <m/>
    <m/>
    <m/>
  </r>
  <r>
    <n v="183"/>
    <n v="7"/>
    <x v="182"/>
    <s v="Emnify"/>
    <s v="0680014147"/>
    <x v="179"/>
    <s v="0680014147"/>
    <s v="868199054694147"/>
    <x v="12"/>
    <x v="13"/>
    <x v="2"/>
    <x v="0"/>
    <x v="1"/>
    <m/>
    <n v="1"/>
    <m/>
    <m/>
    <m/>
  </r>
  <r>
    <n v="184"/>
    <n v="8"/>
    <x v="183"/>
    <s v="Emnify"/>
    <s v="0680014183"/>
    <x v="180"/>
    <s v="0680014183"/>
    <s v="868199054602751"/>
    <x v="12"/>
    <x v="10"/>
    <x v="2"/>
    <x v="0"/>
    <x v="1"/>
    <m/>
    <n v="1"/>
    <m/>
    <m/>
    <m/>
  </r>
  <r>
    <n v="185"/>
    <n v="9"/>
    <x v="184"/>
    <s v="Emnify"/>
    <s v="0680014184"/>
    <x v="181"/>
    <s v="0680014184"/>
    <s v="868199054615811"/>
    <x v="12"/>
    <x v="24"/>
    <x v="0"/>
    <x v="0"/>
    <x v="1"/>
    <m/>
    <n v="1"/>
    <m/>
    <m/>
    <m/>
  </r>
  <r>
    <n v="186"/>
    <n v="10"/>
    <x v="185"/>
    <s v="Emnify"/>
    <s v="0680014185"/>
    <x v="182"/>
    <s v="0680014185"/>
    <s v="868199054615563"/>
    <x v="12"/>
    <x v="45"/>
    <x v="0"/>
    <x v="0"/>
    <x v="1"/>
    <m/>
    <n v="1"/>
    <m/>
    <m/>
    <m/>
  </r>
  <r>
    <n v="187"/>
    <n v="11"/>
    <x v="186"/>
    <s v="Emnify"/>
    <s v="0680014186"/>
    <x v="183"/>
    <s v="0680014186"/>
    <s v="868199054602173"/>
    <x v="12"/>
    <x v="45"/>
    <x v="0"/>
    <x v="0"/>
    <x v="1"/>
    <m/>
    <n v="1"/>
    <m/>
    <m/>
    <m/>
  </r>
  <r>
    <n v="188"/>
    <n v="12"/>
    <x v="187"/>
    <s v="Emnify"/>
    <s v="0680014187"/>
    <x v="184"/>
    <s v="0680014187"/>
    <s v="868199054602454"/>
    <x v="12"/>
    <x v="45"/>
    <x v="0"/>
    <x v="0"/>
    <x v="1"/>
    <m/>
    <n v="1"/>
    <m/>
    <m/>
    <m/>
  </r>
  <r>
    <n v="189"/>
    <n v="13"/>
    <x v="188"/>
    <s v="Emnify"/>
    <s v="0680014188"/>
    <x v="185"/>
    <s v="0680014188"/>
    <s v="868199054615001"/>
    <x v="12"/>
    <x v="45"/>
    <x v="0"/>
    <x v="0"/>
    <x v="1"/>
    <m/>
    <n v="1"/>
    <m/>
    <m/>
    <m/>
  </r>
  <r>
    <n v="190"/>
    <n v="14"/>
    <x v="189"/>
    <s v="Emnify"/>
    <s v="0680014283"/>
    <x v="186"/>
    <s v="0680014283"/>
    <s v="868199054665725"/>
    <x v="12"/>
    <x v="23"/>
    <x v="0"/>
    <x v="0"/>
    <x v="1"/>
    <m/>
    <m/>
    <m/>
    <m/>
    <m/>
  </r>
  <r>
    <n v="191"/>
    <n v="15"/>
    <x v="190"/>
    <s v="Emnify"/>
    <s v="0680014284"/>
    <x v="187"/>
    <s v="0680014284"/>
    <s v="868199054619276"/>
    <x v="12"/>
    <x v="23"/>
    <x v="0"/>
    <x v="0"/>
    <x v="1"/>
    <m/>
    <m/>
    <m/>
    <m/>
    <m/>
  </r>
  <r>
    <n v="192"/>
    <n v="16"/>
    <x v="191"/>
    <s v="Emnify"/>
    <s v="0680014285"/>
    <x v="188"/>
    <s v="0680014285"/>
    <s v="868199054665667"/>
    <x v="12"/>
    <x v="23"/>
    <x v="0"/>
    <x v="0"/>
    <x v="1"/>
    <m/>
    <m/>
    <m/>
    <m/>
    <m/>
  </r>
  <r>
    <n v="193"/>
    <n v="17"/>
    <x v="192"/>
    <s v="Emnify"/>
    <s v="0680014286"/>
    <x v="189"/>
    <s v="0680014286"/>
    <s v="868199054680948"/>
    <x v="12"/>
    <x v="23"/>
    <x v="0"/>
    <x v="0"/>
    <x v="1"/>
    <m/>
    <m/>
    <m/>
    <m/>
    <m/>
  </r>
  <r>
    <n v="194"/>
    <n v="18"/>
    <x v="193"/>
    <s v="Emnify"/>
    <s v="0680014287"/>
    <x v="190"/>
    <s v="0680014287"/>
    <s v="868199054680559"/>
    <x v="12"/>
    <x v="23"/>
    <x v="0"/>
    <x v="0"/>
    <x v="1"/>
    <m/>
    <m/>
    <m/>
    <m/>
    <m/>
  </r>
  <r>
    <n v="195"/>
    <n v="19"/>
    <x v="194"/>
    <s v="Emnify"/>
    <s v="0680015480"/>
    <x v="191"/>
    <s v="0680015480"/>
    <s v="868199054610101"/>
    <x v="12"/>
    <x v="18"/>
    <x v="0"/>
    <x v="0"/>
    <x v="1"/>
    <m/>
    <m/>
    <m/>
    <m/>
    <m/>
  </r>
  <r>
    <n v="196"/>
    <n v="20"/>
    <x v="195"/>
    <s v="Emnify"/>
    <s v="0680015477"/>
    <x v="192"/>
    <s v="0680015477"/>
    <s v="868199054682910"/>
    <x v="12"/>
    <x v="10"/>
    <x v="0"/>
    <x v="0"/>
    <x v="1"/>
    <m/>
    <m/>
    <m/>
    <m/>
    <m/>
  </r>
  <r>
    <n v="197"/>
    <n v="21"/>
    <x v="196"/>
    <s v="Emnify"/>
    <s v="0680015478"/>
    <x v="193"/>
    <s v="0680015478"/>
    <s v="868199054683298"/>
    <x v="12"/>
    <x v="10"/>
    <x v="0"/>
    <x v="0"/>
    <x v="1"/>
    <m/>
    <m/>
    <m/>
    <m/>
    <m/>
  </r>
  <r>
    <n v="198"/>
    <n v="22"/>
    <x v="197"/>
    <s v="Emnify"/>
    <s v="0680015866"/>
    <x v="194"/>
    <s v="0680015866"/>
    <s v="868199054724449"/>
    <x v="12"/>
    <x v="47"/>
    <x v="0"/>
    <x v="0"/>
    <x v="1"/>
    <m/>
    <m/>
    <s v="STI"/>
    <m/>
    <m/>
  </r>
  <r>
    <n v="199"/>
    <n v="23"/>
    <x v="198"/>
    <s v="Emnify"/>
    <s v="0680015867"/>
    <x v="195"/>
    <s v="0680015867"/>
    <s v="868199054609731"/>
    <x v="12"/>
    <x v="47"/>
    <x v="0"/>
    <x v="0"/>
    <x v="1"/>
    <m/>
    <m/>
    <s v="STI"/>
    <m/>
    <m/>
  </r>
  <r>
    <n v="200"/>
    <n v="24"/>
    <x v="199"/>
    <s v="Emnify"/>
    <s v="0680015868"/>
    <x v="196"/>
    <s v="0680015868"/>
    <s v="868199054607859"/>
    <x v="12"/>
    <x v="48"/>
    <x v="0"/>
    <x v="0"/>
    <x v="1"/>
    <m/>
    <m/>
    <s v="STI"/>
    <m/>
    <m/>
  </r>
  <r>
    <n v="201"/>
    <n v="25"/>
    <x v="200"/>
    <s v="Emnify"/>
    <s v="0680015869"/>
    <x v="197"/>
    <s v="0680015869"/>
    <s v="868199054586178"/>
    <x v="12"/>
    <x v="10"/>
    <x v="0"/>
    <x v="0"/>
    <x v="1"/>
    <m/>
    <m/>
    <s v="STI"/>
    <m/>
    <m/>
  </r>
  <r>
    <n v="202"/>
    <n v="26"/>
    <x v="201"/>
    <s v="Emnify"/>
    <s v="0680015870"/>
    <x v="198"/>
    <s v="0680015870"/>
    <s v="868199054622783"/>
    <x v="12"/>
    <x v="10"/>
    <x v="0"/>
    <x v="0"/>
    <x v="1"/>
    <m/>
    <m/>
    <s v="STI"/>
    <m/>
    <m/>
  </r>
  <r>
    <n v="203"/>
    <n v="27"/>
    <x v="202"/>
    <s v="Emnify"/>
    <s v="0680015871"/>
    <x v="199"/>
    <s v="0680015871"/>
    <s v="868199054606091"/>
    <x v="12"/>
    <x v="26"/>
    <x v="2"/>
    <x v="0"/>
    <x v="1"/>
    <m/>
    <m/>
    <s v="STI"/>
    <m/>
    <m/>
  </r>
  <r>
    <n v="204"/>
    <n v="28"/>
    <x v="203"/>
    <s v="Emnify"/>
    <s v="0680015872"/>
    <x v="200"/>
    <s v="0680015872"/>
    <s v="868199054651642"/>
    <x v="12"/>
    <x v="26"/>
    <x v="2"/>
    <x v="0"/>
    <x v="1"/>
    <m/>
    <m/>
    <s v="STI"/>
    <m/>
    <m/>
  </r>
  <r>
    <n v="205"/>
    <n v="29"/>
    <x v="204"/>
    <s v="Emnify"/>
    <s v="0680015860"/>
    <x v="201"/>
    <s v="0680015860"/>
    <s v="868199054609674"/>
    <x v="12"/>
    <x v="31"/>
    <x v="2"/>
    <x v="0"/>
    <x v="1"/>
    <m/>
    <m/>
    <s v="STI"/>
    <m/>
    <m/>
  </r>
  <r>
    <n v="206"/>
    <n v="30"/>
    <x v="205"/>
    <s v="Emnify"/>
    <s v="0680015861"/>
    <x v="202"/>
    <s v="0680015861"/>
    <s v="868199054608451"/>
    <x v="12"/>
    <x v="31"/>
    <x v="2"/>
    <x v="0"/>
    <x v="1"/>
    <m/>
    <m/>
    <s v="STI"/>
    <m/>
    <m/>
  </r>
  <r>
    <n v="207"/>
    <n v="31"/>
    <x v="206"/>
    <s v="Emnify"/>
    <s v="0680015862"/>
    <x v="203"/>
    <s v="0680015862"/>
    <s v="868199054584306"/>
    <x v="12"/>
    <x v="49"/>
    <x v="0"/>
    <x v="0"/>
    <x v="1"/>
    <m/>
    <m/>
    <s v="STI"/>
    <m/>
    <m/>
  </r>
  <r>
    <n v="208"/>
    <n v="32"/>
    <x v="207"/>
    <s v="Emnify"/>
    <s v="0680015863"/>
    <x v="204"/>
    <s v="0680015863"/>
    <s v="868199054616470"/>
    <x v="12"/>
    <x v="23"/>
    <x v="2"/>
    <x v="0"/>
    <x v="1"/>
    <m/>
    <m/>
    <s v="STI"/>
    <m/>
    <m/>
  </r>
  <r>
    <n v="209"/>
    <n v="33"/>
    <x v="208"/>
    <s v="Emnify"/>
    <s v="0680015864"/>
    <x v="205"/>
    <s v="0680015864"/>
    <s v="868199054622627"/>
    <x v="12"/>
    <x v="23"/>
    <x v="2"/>
    <x v="0"/>
    <x v="1"/>
    <m/>
    <m/>
    <s v="STI"/>
    <m/>
    <m/>
  </r>
  <r>
    <n v="210"/>
    <n v="34"/>
    <x v="209"/>
    <s v="Emnify"/>
    <s v="0680015865"/>
    <x v="206"/>
    <s v="0680015865"/>
    <s v="868199054651501"/>
    <x v="12"/>
    <x v="23"/>
    <x v="2"/>
    <x v="0"/>
    <x v="1"/>
    <m/>
    <m/>
    <s v="STI"/>
    <m/>
    <m/>
  </r>
  <r>
    <n v="211"/>
    <n v="35"/>
    <x v="210"/>
    <s v="Emnify"/>
    <s v="0680015876"/>
    <x v="207"/>
    <s v="0680015876"/>
    <s v="868199054651766"/>
    <x v="12"/>
    <x v="23"/>
    <x v="2"/>
    <x v="0"/>
    <x v="1"/>
    <m/>
    <m/>
    <s v="STI"/>
    <m/>
    <m/>
  </r>
  <r>
    <n v="212"/>
    <n v="36"/>
    <x v="211"/>
    <s v="Emnify"/>
    <s v="353549090886200"/>
    <x v="208"/>
    <s v="353549090886200"/>
    <s v="3535490908862078"/>
    <x v="13"/>
    <x v="16"/>
    <x v="0"/>
    <x v="0"/>
    <x v="1"/>
    <m/>
    <m/>
    <m/>
    <m/>
    <m/>
  </r>
  <r>
    <n v="213"/>
    <n v="37"/>
    <x v="212"/>
    <s v="Emnify"/>
    <s v="0680015877"/>
    <x v="209"/>
    <s v="0680015877"/>
    <s v="868199054710489"/>
    <x v="12"/>
    <x v="10"/>
    <x v="2"/>
    <x v="0"/>
    <x v="1"/>
    <m/>
    <m/>
    <s v="STI"/>
    <m/>
    <m/>
  </r>
  <r>
    <n v="214"/>
    <n v="38"/>
    <x v="213"/>
    <s v="Emnify"/>
    <s v="0680015878"/>
    <x v="210"/>
    <s v="0680015878"/>
    <s v="868199054584801"/>
    <x v="12"/>
    <x v="10"/>
    <x v="2"/>
    <x v="0"/>
    <x v="1"/>
    <m/>
    <m/>
    <s v="STI"/>
    <m/>
    <m/>
  </r>
  <r>
    <n v="215"/>
    <n v="39"/>
    <x v="214"/>
    <s v="Emnify"/>
    <s v="0680015879"/>
    <x v="211"/>
    <s v="0680015879"/>
    <s v="868199054607842"/>
    <x v="12"/>
    <x v="10"/>
    <x v="2"/>
    <x v="0"/>
    <x v="1"/>
    <m/>
    <m/>
    <s v="STI"/>
    <m/>
    <m/>
  </r>
  <r>
    <n v="216"/>
    <n v="40"/>
    <x v="215"/>
    <s v="Emnify"/>
    <s v="0680015880"/>
    <x v="212"/>
    <s v="0680015880"/>
    <s v="868199054609715"/>
    <x v="12"/>
    <x v="10"/>
    <x v="2"/>
    <x v="0"/>
    <x v="1"/>
    <m/>
    <m/>
    <s v="STI"/>
    <m/>
    <m/>
  </r>
  <r>
    <n v="217"/>
    <n v="41"/>
    <x v="216"/>
    <s v="Emnify"/>
    <s v="0680015881"/>
    <x v="213"/>
    <s v="0680015881"/>
    <s v="868199054609095"/>
    <x v="12"/>
    <x v="10"/>
    <x v="2"/>
    <x v="0"/>
    <x v="1"/>
    <m/>
    <m/>
    <s v="STI"/>
    <m/>
    <m/>
  </r>
  <r>
    <n v="218"/>
    <n v="42"/>
    <x v="217"/>
    <s v="Emnify"/>
    <s v="0680015882"/>
    <x v="214"/>
    <s v="0680015882"/>
    <s v="868199054605747"/>
    <x v="12"/>
    <x v="17"/>
    <x v="0"/>
    <x v="0"/>
    <x v="1"/>
    <m/>
    <m/>
    <s v="STI"/>
    <m/>
    <m/>
  </r>
  <r>
    <n v="219"/>
    <n v="43"/>
    <x v="218"/>
    <s v="Emnify"/>
    <s v="0680015883"/>
    <x v="215"/>
    <s v="0680015883"/>
    <s v="868199054586376"/>
    <x v="12"/>
    <x v="26"/>
    <x v="2"/>
    <x v="0"/>
    <x v="1"/>
    <m/>
    <m/>
    <s v="STI"/>
    <m/>
    <m/>
  </r>
  <r>
    <n v="220"/>
    <n v="44"/>
    <x v="219"/>
    <s v="Emnify"/>
    <s v="0680015884"/>
    <x v="216"/>
    <s v="0680015884"/>
    <s v="868199054606994"/>
    <x v="12"/>
    <x v="26"/>
    <x v="2"/>
    <x v="0"/>
    <x v="1"/>
    <m/>
    <m/>
    <s v="STI"/>
    <m/>
    <m/>
  </r>
  <r>
    <n v="221"/>
    <n v="45"/>
    <x v="220"/>
    <s v="Emnify"/>
    <s v="0680015940"/>
    <x v="217"/>
    <s v="0680015940"/>
    <s v="868199054607917"/>
    <x v="12"/>
    <x v="26"/>
    <x v="2"/>
    <x v="0"/>
    <x v="1"/>
    <m/>
    <m/>
    <m/>
    <m/>
    <m/>
  </r>
  <r>
    <n v="222"/>
    <n v="46"/>
    <x v="221"/>
    <s v="Emnify"/>
    <s v="0680015941"/>
    <x v="218"/>
    <s v="0680015941"/>
    <s v="868199054509269"/>
    <x v="12"/>
    <x v="26"/>
    <x v="2"/>
    <x v="0"/>
    <x v="1"/>
    <m/>
    <m/>
    <m/>
    <m/>
    <m/>
  </r>
  <r>
    <n v="223"/>
    <n v="47"/>
    <x v="222"/>
    <s v="Emnify"/>
    <s v="0680015942"/>
    <x v="219"/>
    <s v="0680015942"/>
    <s v="868199054612339"/>
    <x v="12"/>
    <x v="26"/>
    <x v="2"/>
    <x v="0"/>
    <x v="1"/>
    <m/>
    <m/>
    <m/>
    <m/>
    <m/>
  </r>
  <r>
    <n v="224"/>
    <n v="48"/>
    <x v="223"/>
    <s v="Emnify"/>
    <s v="0680015943"/>
    <x v="220"/>
    <s v="0680015943"/>
    <s v="868199054608287"/>
    <x v="12"/>
    <x v="26"/>
    <x v="2"/>
    <x v="0"/>
    <x v="1"/>
    <m/>
    <m/>
    <m/>
    <m/>
    <m/>
  </r>
  <r>
    <n v="225"/>
    <n v="49"/>
    <x v="224"/>
    <s v="Emnify"/>
    <s v="0680015944"/>
    <x v="221"/>
    <s v="0680015944"/>
    <s v="868199054627345"/>
    <x v="12"/>
    <x v="26"/>
    <x v="2"/>
    <x v="0"/>
    <x v="1"/>
    <m/>
    <m/>
    <m/>
    <m/>
    <m/>
  </r>
  <r>
    <n v="226"/>
    <n v="50"/>
    <x v="225"/>
    <s v="Emnify"/>
    <s v="0680015945"/>
    <x v="222"/>
    <s v="0680015945"/>
    <s v="868199054608071"/>
    <x v="12"/>
    <x v="26"/>
    <x v="2"/>
    <x v="0"/>
    <x v="1"/>
    <m/>
    <m/>
    <m/>
    <m/>
    <m/>
  </r>
  <r>
    <n v="227"/>
    <n v="51"/>
    <x v="226"/>
    <s v="Emnify"/>
    <s v="0680015946"/>
    <x v="223"/>
    <s v="0680015946"/>
    <s v="868199054587358"/>
    <x v="12"/>
    <x v="26"/>
    <x v="2"/>
    <x v="0"/>
    <x v="1"/>
    <m/>
    <m/>
    <m/>
    <m/>
    <m/>
  </r>
  <r>
    <n v="228"/>
    <n v="52"/>
    <x v="227"/>
    <s v="Emnify"/>
    <s v="0680015947"/>
    <x v="224"/>
    <s v="0680015947"/>
    <s v="868199054612099"/>
    <x v="12"/>
    <x v="26"/>
    <x v="2"/>
    <x v="0"/>
    <x v="1"/>
    <m/>
    <m/>
    <m/>
    <m/>
    <m/>
  </r>
  <r>
    <n v="229"/>
    <n v="53"/>
    <x v="228"/>
    <s v="Emnify"/>
    <s v="0680015948"/>
    <x v="225"/>
    <s v="0680015948"/>
    <s v="868199054627402"/>
    <x v="12"/>
    <x v="26"/>
    <x v="2"/>
    <x v="0"/>
    <x v="1"/>
    <m/>
    <m/>
    <m/>
    <m/>
    <m/>
  </r>
  <r>
    <n v="230"/>
    <n v="54"/>
    <x v="229"/>
    <s v="Emnify"/>
    <s v="0680015949"/>
    <x v="226"/>
    <s v="0680015949"/>
    <s v="868199054710752"/>
    <x v="12"/>
    <x v="17"/>
    <x v="0"/>
    <x v="0"/>
    <x v="1"/>
    <m/>
    <m/>
    <m/>
    <m/>
    <m/>
  </r>
  <r>
    <n v="231"/>
    <n v="55"/>
    <x v="230"/>
    <s v="Emnify"/>
    <s v="0680017073"/>
    <x v="227"/>
    <s v="0680017073"/>
    <s v="868199054621611"/>
    <x v="12"/>
    <x v="17"/>
    <x v="0"/>
    <x v="0"/>
    <x v="1"/>
    <m/>
    <m/>
    <m/>
    <m/>
    <m/>
  </r>
  <r>
    <n v="232"/>
    <n v="56"/>
    <x v="231"/>
    <s v="Emnify"/>
    <s v="0680017074"/>
    <x v="228"/>
    <s v="0680017074"/>
    <s v="868199054585741"/>
    <x v="12"/>
    <x v="17"/>
    <x v="0"/>
    <x v="0"/>
    <x v="1"/>
    <m/>
    <m/>
    <m/>
    <m/>
    <m/>
  </r>
  <r>
    <n v="233"/>
    <n v="57"/>
    <x v="232"/>
    <s v="Emnify"/>
    <s v="0680017075"/>
    <x v="229"/>
    <s v="0680017075"/>
    <s v="868199054584983"/>
    <x v="12"/>
    <x v="17"/>
    <x v="0"/>
    <x v="0"/>
    <x v="1"/>
    <m/>
    <m/>
    <m/>
    <m/>
    <m/>
  </r>
  <r>
    <n v="234"/>
    <n v="58"/>
    <x v="233"/>
    <s v="Emnify"/>
    <s v="0680017076"/>
    <x v="230"/>
    <s v="0680017076"/>
    <m/>
    <x v="12"/>
    <x v="5"/>
    <x v="1"/>
    <x v="0"/>
    <x v="1"/>
    <m/>
    <m/>
    <m/>
    <m/>
    <m/>
  </r>
  <r>
    <n v="235"/>
    <n v="59"/>
    <x v="234"/>
    <s v="Emnify"/>
    <s v="0680017077"/>
    <x v="231"/>
    <s v="0680017077"/>
    <s v="868199054621646"/>
    <x v="12"/>
    <x v="6"/>
    <x v="0"/>
    <x v="0"/>
    <x v="1"/>
    <m/>
    <m/>
    <m/>
    <m/>
    <m/>
  </r>
  <r>
    <n v="236"/>
    <n v="60"/>
    <x v="235"/>
    <s v="Emnify"/>
    <s v="0680017078"/>
    <x v="232"/>
    <s v="0680017078"/>
    <s v="868199054622155"/>
    <x v="12"/>
    <x v="6"/>
    <x v="0"/>
    <x v="0"/>
    <x v="1"/>
    <m/>
    <m/>
    <m/>
    <m/>
    <m/>
  </r>
  <r>
    <n v="237"/>
    <n v="61"/>
    <x v="236"/>
    <s v="Emnify"/>
    <s v="0680017079"/>
    <x v="233"/>
    <s v="0680017079"/>
    <s v="868199054674198"/>
    <x v="12"/>
    <x v="7"/>
    <x v="1"/>
    <x v="0"/>
    <x v="1"/>
    <m/>
    <m/>
    <m/>
    <m/>
    <m/>
  </r>
  <r>
    <n v="238"/>
    <n v="62"/>
    <x v="237"/>
    <s v="Emnify"/>
    <s v="0680017080"/>
    <x v="234"/>
    <s v="0680017080"/>
    <s v="868199054602884"/>
    <x v="12"/>
    <x v="7"/>
    <x v="1"/>
    <x v="0"/>
    <x v="1"/>
    <m/>
    <m/>
    <m/>
    <m/>
    <m/>
  </r>
  <r>
    <n v="239"/>
    <n v="63"/>
    <x v="238"/>
    <s v="Emnify"/>
    <s v="0520049489"/>
    <x v="235"/>
    <s v="0520049489"/>
    <s v="860640053954618"/>
    <x v="14"/>
    <x v="31"/>
    <x v="2"/>
    <x v="0"/>
    <x v="1"/>
    <m/>
    <m/>
    <m/>
    <m/>
    <m/>
  </r>
  <r>
    <n v="240"/>
    <n v="64"/>
    <x v="239"/>
    <s v="Emnify"/>
    <s v="0520049490"/>
    <x v="236"/>
    <s v="0520049490"/>
    <s v="860640054222163"/>
    <x v="15"/>
    <x v="26"/>
    <x v="2"/>
    <x v="0"/>
    <x v="1"/>
    <m/>
    <m/>
    <m/>
    <m/>
    <m/>
  </r>
  <r>
    <n v="241"/>
    <n v="65"/>
    <x v="240"/>
    <s v="Emnify"/>
    <s v="0520049491"/>
    <x v="237"/>
    <s v="0520049491"/>
    <s v="860640054114774"/>
    <x v="15"/>
    <x v="26"/>
    <x v="2"/>
    <x v="0"/>
    <x v="1"/>
    <m/>
    <m/>
    <m/>
    <m/>
    <m/>
  </r>
  <r>
    <n v="242"/>
    <n v="66"/>
    <x v="241"/>
    <s v="Emnify"/>
    <s v="0520049492"/>
    <x v="238"/>
    <s v="0520049492"/>
    <s v="860640054045408"/>
    <x v="15"/>
    <x v="23"/>
    <x v="2"/>
    <x v="0"/>
    <x v="1"/>
    <m/>
    <m/>
    <m/>
    <m/>
    <m/>
  </r>
  <r>
    <n v="243"/>
    <n v="67"/>
    <x v="242"/>
    <s v="Emnify"/>
    <s v="0520049493"/>
    <x v="239"/>
    <s v="0520049493"/>
    <s v="860640054229028"/>
    <x v="15"/>
    <x v="23"/>
    <x v="2"/>
    <x v="0"/>
    <x v="1"/>
    <m/>
    <m/>
    <m/>
    <m/>
    <m/>
  </r>
  <r>
    <n v="244"/>
    <n v="68"/>
    <x v="243"/>
    <s v="Emnify"/>
    <s v="0520049594"/>
    <x v="240"/>
    <s v="0520049594"/>
    <s v="860640054216116"/>
    <x v="15"/>
    <x v="23"/>
    <x v="2"/>
    <x v="0"/>
    <x v="1"/>
    <m/>
    <m/>
    <m/>
    <m/>
    <m/>
  </r>
  <r>
    <n v="245"/>
    <n v="69"/>
    <x v="244"/>
    <s v="Emnify"/>
    <s v="0520049595"/>
    <x v="241"/>
    <s v="0520049595"/>
    <s v="860640054228954"/>
    <x v="15"/>
    <x v="6"/>
    <x v="1"/>
    <x v="0"/>
    <x v="1"/>
    <m/>
    <m/>
    <m/>
    <m/>
    <m/>
  </r>
  <r>
    <n v="246"/>
    <n v="70"/>
    <x v="245"/>
    <s v="Emnify"/>
    <s v="0520049596"/>
    <x v="242"/>
    <s v="0520049596"/>
    <s v="860640054202389"/>
    <x v="15"/>
    <x v="23"/>
    <x v="2"/>
    <x v="0"/>
    <x v="1"/>
    <m/>
    <m/>
    <m/>
    <m/>
    <m/>
  </r>
  <r>
    <n v="247"/>
    <n v="71"/>
    <x v="246"/>
    <s v="Emnify"/>
    <s v="0520049597"/>
    <x v="243"/>
    <s v="0520049597"/>
    <s v="860640054215993"/>
    <x v="15"/>
    <x v="23"/>
    <x v="2"/>
    <x v="0"/>
    <x v="1"/>
    <m/>
    <m/>
    <m/>
    <m/>
    <m/>
  </r>
  <r>
    <n v="248"/>
    <n v="72"/>
    <x v="247"/>
    <s v="Emnify"/>
    <s v="0520049598"/>
    <x v="244"/>
    <s v="0520049598"/>
    <s v="860640054202462"/>
    <x v="15"/>
    <x v="23"/>
    <x v="2"/>
    <x v="0"/>
    <x v="1"/>
    <m/>
    <m/>
    <m/>
    <m/>
    <m/>
  </r>
  <r>
    <n v="249"/>
    <n v="73"/>
    <x v="248"/>
    <s v="Emnify"/>
    <m/>
    <x v="245"/>
    <m/>
    <m/>
    <x v="16"/>
    <x v="50"/>
    <x v="4"/>
    <x v="2"/>
    <x v="1"/>
    <m/>
    <m/>
    <m/>
    <m/>
    <m/>
  </r>
  <r>
    <n v="250"/>
    <n v="74"/>
    <x v="249"/>
    <s v="Emnify"/>
    <m/>
    <x v="246"/>
    <m/>
    <m/>
    <x v="16"/>
    <x v="50"/>
    <x v="4"/>
    <x v="2"/>
    <x v="1"/>
    <m/>
    <m/>
    <m/>
    <m/>
    <m/>
  </r>
  <r>
    <n v="251"/>
    <n v="75"/>
    <x v="250"/>
    <s v="Emnify"/>
    <m/>
    <x v="246"/>
    <m/>
    <m/>
    <x v="16"/>
    <x v="50"/>
    <x v="4"/>
    <x v="2"/>
    <x v="1"/>
    <m/>
    <m/>
    <m/>
    <m/>
    <m/>
  </r>
  <r>
    <n v="252"/>
    <n v="76"/>
    <x v="251"/>
    <s v="Emnify"/>
    <m/>
    <x v="246"/>
    <m/>
    <m/>
    <x v="16"/>
    <x v="50"/>
    <x v="4"/>
    <x v="2"/>
    <x v="1"/>
    <m/>
    <m/>
    <m/>
    <m/>
    <m/>
  </r>
  <r>
    <n v="253"/>
    <n v="77"/>
    <x v="252"/>
    <s v="Emnify"/>
    <m/>
    <x v="246"/>
    <m/>
    <m/>
    <x v="16"/>
    <x v="50"/>
    <x v="4"/>
    <x v="2"/>
    <x v="1"/>
    <m/>
    <m/>
    <m/>
    <m/>
    <m/>
  </r>
  <r>
    <n v="254"/>
    <n v="78"/>
    <x v="253"/>
    <s v="Emnify"/>
    <m/>
    <x v="246"/>
    <m/>
    <m/>
    <x v="16"/>
    <x v="50"/>
    <x v="4"/>
    <x v="2"/>
    <x v="1"/>
    <m/>
    <m/>
    <m/>
    <m/>
    <m/>
  </r>
  <r>
    <n v="255"/>
    <n v="79"/>
    <x v="254"/>
    <s v="Emnify"/>
    <s v="0680018103"/>
    <x v="247"/>
    <s v="0680018103"/>
    <s v="864919054412784"/>
    <x v="12"/>
    <x v="7"/>
    <x v="1"/>
    <x v="0"/>
    <x v="1"/>
    <m/>
    <m/>
    <m/>
    <m/>
    <m/>
  </r>
  <r>
    <n v="256"/>
    <n v="80"/>
    <x v="255"/>
    <s v="Emnify"/>
    <s v="0680018098"/>
    <x v="248"/>
    <s v="0680018098"/>
    <s v="864919054362211"/>
    <x v="12"/>
    <x v="51"/>
    <x v="0"/>
    <x v="0"/>
    <x v="1"/>
    <m/>
    <m/>
    <m/>
    <m/>
    <m/>
  </r>
  <r>
    <n v="257"/>
    <n v="81"/>
    <x v="256"/>
    <s v="Emnify"/>
    <s v="0680018106"/>
    <x v="249"/>
    <s v="0680018106"/>
    <s v="864919054398819"/>
    <x v="12"/>
    <x v="17"/>
    <x v="0"/>
    <x v="0"/>
    <x v="1"/>
    <m/>
    <m/>
    <m/>
    <m/>
    <m/>
  </r>
  <r>
    <n v="258"/>
    <n v="82"/>
    <x v="257"/>
    <s v="Emnify"/>
    <s v="0680018101"/>
    <x v="250"/>
    <s v="0680018101"/>
    <s v="864919054433509"/>
    <x v="12"/>
    <x v="17"/>
    <x v="0"/>
    <x v="0"/>
    <x v="1"/>
    <m/>
    <m/>
    <m/>
    <m/>
    <m/>
  </r>
  <r>
    <n v="259"/>
    <n v="83"/>
    <x v="258"/>
    <s v="Emnify"/>
    <s v="0680018097"/>
    <x v="251"/>
    <s v="0680018097"/>
    <s v="864919054407180"/>
    <x v="12"/>
    <x v="17"/>
    <x v="0"/>
    <x v="0"/>
    <x v="1"/>
    <m/>
    <m/>
    <m/>
    <m/>
    <m/>
  </r>
  <r>
    <n v="260"/>
    <n v="84"/>
    <x v="259"/>
    <s v="Emnify"/>
    <s v="0680018102"/>
    <x v="252"/>
    <s v="0680018102"/>
    <s v="864919054403908"/>
    <x v="12"/>
    <x v="52"/>
    <x v="0"/>
    <x v="0"/>
    <x v="1"/>
    <m/>
    <m/>
    <m/>
    <m/>
    <m/>
  </r>
  <r>
    <n v="261"/>
    <n v="85"/>
    <x v="260"/>
    <s v="Emnify"/>
    <s v="0680018100"/>
    <x v="253"/>
    <s v="0680018100"/>
    <s v="864919054402702"/>
    <x v="12"/>
    <x v="53"/>
    <x v="0"/>
    <x v="0"/>
    <x v="1"/>
    <m/>
    <m/>
    <m/>
    <m/>
    <m/>
  </r>
  <r>
    <n v="262"/>
    <n v="86"/>
    <x v="261"/>
    <s v="Emnify"/>
    <s v="0680018105"/>
    <x v="254"/>
    <s v="0680018105"/>
    <s v="864919054399775"/>
    <x v="12"/>
    <x v="54"/>
    <x v="5"/>
    <x v="0"/>
    <x v="1"/>
    <m/>
    <m/>
    <m/>
    <m/>
    <m/>
  </r>
  <r>
    <n v="263"/>
    <n v="87"/>
    <x v="262"/>
    <s v="Emnify"/>
    <s v="0680018104"/>
    <x v="255"/>
    <s v="0680018104"/>
    <s v="864919054442534"/>
    <x v="12"/>
    <x v="54"/>
    <x v="5"/>
    <x v="0"/>
    <x v="1"/>
    <m/>
    <m/>
    <m/>
    <m/>
    <m/>
  </r>
  <r>
    <n v="264"/>
    <n v="88"/>
    <x v="263"/>
    <s v="Emnify"/>
    <s v="0680018099"/>
    <x v="256"/>
    <s v="0680018099"/>
    <s v="864919054434085"/>
    <x v="12"/>
    <x v="54"/>
    <x v="5"/>
    <x v="0"/>
    <x v="1"/>
    <m/>
    <m/>
    <m/>
    <m/>
    <m/>
  </r>
  <r>
    <n v="265"/>
    <n v="89"/>
    <x v="264"/>
    <s v="Emnify"/>
    <s v="0680018321"/>
    <x v="257"/>
    <s v="0680018321"/>
    <s v="868199058514382"/>
    <x v="12"/>
    <x v="54"/>
    <x v="5"/>
    <x v="0"/>
    <x v="1"/>
    <m/>
    <m/>
    <m/>
    <m/>
    <m/>
  </r>
  <r>
    <n v="266"/>
    <n v="90"/>
    <x v="265"/>
    <s v="Emnify"/>
    <s v="0680018322"/>
    <x v="258"/>
    <s v="0680018322"/>
    <s v="868199057512866"/>
    <x v="12"/>
    <x v="54"/>
    <x v="5"/>
    <x v="0"/>
    <x v="1"/>
    <m/>
    <m/>
    <m/>
    <m/>
    <m/>
  </r>
  <r>
    <n v="267"/>
    <n v="91"/>
    <x v="266"/>
    <s v="Emnify"/>
    <s v="0680018323"/>
    <x v="259"/>
    <s v="0680018323"/>
    <s v="868199058038481"/>
    <x v="12"/>
    <x v="54"/>
    <x v="5"/>
    <x v="0"/>
    <x v="1"/>
    <m/>
    <m/>
    <m/>
    <m/>
    <m/>
  </r>
  <r>
    <n v="268"/>
    <n v="92"/>
    <x v="267"/>
    <s v="Emnify"/>
    <s v="0680018324"/>
    <x v="260"/>
    <s v="0680018324"/>
    <s v="864919054439415"/>
    <x v="12"/>
    <x v="54"/>
    <x v="5"/>
    <x v="0"/>
    <x v="1"/>
    <m/>
    <m/>
    <m/>
    <m/>
    <m/>
  </r>
  <r>
    <n v="269"/>
    <n v="93"/>
    <x v="268"/>
    <s v="Emnify"/>
    <s v="0680018325"/>
    <x v="261"/>
    <s v="0680018325"/>
    <s v="868199057499064"/>
    <x v="12"/>
    <x v="54"/>
    <x v="5"/>
    <x v="0"/>
    <x v="1"/>
    <m/>
    <m/>
    <m/>
    <m/>
    <m/>
  </r>
  <r>
    <n v="270"/>
    <n v="94"/>
    <x v="269"/>
    <s v="Emnify"/>
    <s v="0680018326"/>
    <x v="262"/>
    <s v="0680018326"/>
    <s v="868199058089062"/>
    <x v="12"/>
    <x v="54"/>
    <x v="5"/>
    <x v="0"/>
    <x v="1"/>
    <m/>
    <m/>
    <m/>
    <m/>
    <m/>
  </r>
  <r>
    <n v="271"/>
    <n v="95"/>
    <x v="270"/>
    <s v="Emnify"/>
    <s v="0680018327"/>
    <x v="263"/>
    <s v="0680018327"/>
    <s v="864919054442195"/>
    <x v="12"/>
    <x v="54"/>
    <x v="5"/>
    <x v="0"/>
    <x v="1"/>
    <m/>
    <m/>
    <m/>
    <m/>
    <m/>
  </r>
  <r>
    <n v="272"/>
    <n v="96"/>
    <x v="271"/>
    <s v="Emnify"/>
    <s v="0680018478"/>
    <x v="264"/>
    <s v="0680018478"/>
    <s v="864919054392960"/>
    <x v="12"/>
    <x v="54"/>
    <x v="5"/>
    <x v="0"/>
    <x v="1"/>
    <m/>
    <m/>
    <m/>
    <m/>
    <m/>
  </r>
  <r>
    <n v="273"/>
    <n v="97"/>
    <x v="272"/>
    <s v="Emnify"/>
    <s v="0680019574"/>
    <x v="265"/>
    <s v="0680019574"/>
    <s v="868199058502817"/>
    <x v="12"/>
    <x v="23"/>
    <x v="2"/>
    <x v="0"/>
    <x v="1"/>
    <m/>
    <m/>
    <m/>
    <m/>
    <m/>
  </r>
  <r>
    <n v="274"/>
    <n v="98"/>
    <x v="273"/>
    <s v="Emnify"/>
    <s v="0680019573"/>
    <x v="266"/>
    <s v="0680019573"/>
    <s v="868199058562266"/>
    <x v="12"/>
    <x v="23"/>
    <x v="2"/>
    <x v="0"/>
    <x v="1"/>
    <m/>
    <m/>
    <m/>
    <m/>
    <m/>
  </r>
  <r>
    <n v="275"/>
    <n v="99"/>
    <x v="274"/>
    <s v="Emnify"/>
    <m/>
    <x v="246"/>
    <m/>
    <m/>
    <x v="16"/>
    <x v="50"/>
    <x v="4"/>
    <x v="2"/>
    <x v="1"/>
    <m/>
    <m/>
    <m/>
    <m/>
    <m/>
  </r>
  <r>
    <n v="276"/>
    <n v="100"/>
    <x v="275"/>
    <s v="Emnify"/>
    <m/>
    <x v="246"/>
    <m/>
    <m/>
    <x v="16"/>
    <x v="50"/>
    <x v="4"/>
    <x v="2"/>
    <x v="1"/>
    <m/>
    <m/>
    <m/>
    <m/>
    <m/>
  </r>
  <r>
    <n v="277"/>
    <n v="101"/>
    <x v="276"/>
    <s v="Emnify"/>
    <s v="0680021387"/>
    <x v="267"/>
    <s v="0680021387"/>
    <s v="864919055312538"/>
    <x v="12"/>
    <x v="10"/>
    <x v="2"/>
    <x v="0"/>
    <x v="1"/>
    <m/>
    <m/>
    <m/>
    <m/>
    <m/>
  </r>
  <r>
    <n v="278"/>
    <n v="102"/>
    <x v="277"/>
    <s v="Emnify"/>
    <s v="357544371878543"/>
    <x v="268"/>
    <s v="357544371878543"/>
    <s v="357544371878543"/>
    <x v="17"/>
    <x v="34"/>
    <x v="0"/>
    <x v="0"/>
    <x v="1"/>
    <m/>
    <m/>
    <m/>
    <m/>
    <m/>
  </r>
  <r>
    <n v="279"/>
    <n v="103"/>
    <x v="278"/>
    <s v="Emnify"/>
    <s v="865851039257266"/>
    <x v="269"/>
    <s v="865851039257266"/>
    <s v="865851039257266"/>
    <x v="18"/>
    <x v="34"/>
    <x v="0"/>
    <x v="0"/>
    <x v="1"/>
    <m/>
    <m/>
    <m/>
    <m/>
    <m/>
  </r>
  <r>
    <n v="280"/>
    <n v="104"/>
    <x v="279"/>
    <s v="Emnify"/>
    <s v="0680021389"/>
    <x v="270"/>
    <s v="0680021389"/>
    <s v="864919055312959"/>
    <x v="12"/>
    <x v="37"/>
    <x v="0"/>
    <x v="0"/>
    <x v="1"/>
    <m/>
    <m/>
    <m/>
    <m/>
    <m/>
  </r>
  <r>
    <n v="281"/>
    <n v="105"/>
    <x v="280"/>
    <s v="Emnify"/>
    <s v="0680021390"/>
    <x v="271"/>
    <s v="0680021390"/>
    <s v="864919055312611"/>
    <x v="12"/>
    <x v="55"/>
    <x v="0"/>
    <x v="0"/>
    <x v="1"/>
    <m/>
    <m/>
    <m/>
    <m/>
    <m/>
  </r>
  <r>
    <n v="282"/>
    <n v="106"/>
    <x v="281"/>
    <s v="Emnify"/>
    <s v="0680021391"/>
    <x v="272"/>
    <s v="0680021391"/>
    <s v="864919055257030"/>
    <x v="12"/>
    <x v="55"/>
    <x v="0"/>
    <x v="0"/>
    <x v="1"/>
    <m/>
    <m/>
    <m/>
    <m/>
    <m/>
  </r>
  <r>
    <n v="283"/>
    <n v="107"/>
    <x v="282"/>
    <s v="Emnify"/>
    <s v="864251020152678"/>
    <x v="273"/>
    <s v="864251020152678"/>
    <s v="864251020152678"/>
    <x v="19"/>
    <x v="34"/>
    <x v="0"/>
    <x v="0"/>
    <x v="1"/>
    <m/>
    <m/>
    <m/>
    <m/>
    <m/>
  </r>
  <r>
    <n v="284"/>
    <n v="108"/>
    <x v="283"/>
    <s v="Emnify"/>
    <s v="010169932"/>
    <x v="274"/>
    <s v="010169932"/>
    <m/>
    <x v="6"/>
    <x v="56"/>
    <x v="0"/>
    <x v="0"/>
    <x v="1"/>
    <m/>
    <m/>
    <m/>
    <m/>
    <m/>
  </r>
  <r>
    <n v="285"/>
    <n v="109"/>
    <x v="284"/>
    <s v="Emnify"/>
    <s v="010170100"/>
    <x v="275"/>
    <s v="010170100"/>
    <m/>
    <x v="6"/>
    <x v="56"/>
    <x v="0"/>
    <x v="0"/>
    <x v="1"/>
    <m/>
    <m/>
    <m/>
    <m/>
    <m/>
  </r>
  <r>
    <n v="286"/>
    <n v="110"/>
    <x v="285"/>
    <s v="Emnify"/>
    <s v="010178850"/>
    <x v="276"/>
    <s v="010178850"/>
    <m/>
    <x v="6"/>
    <x v="56"/>
    <x v="0"/>
    <x v="0"/>
    <x v="1"/>
    <m/>
    <m/>
    <m/>
    <m/>
    <m/>
  </r>
  <r>
    <n v="287"/>
    <n v="111"/>
    <x v="286"/>
    <s v="Emnify"/>
    <s v="010178193"/>
    <x v="277"/>
    <s v="010178193"/>
    <m/>
    <x v="6"/>
    <x v="56"/>
    <x v="0"/>
    <x v="0"/>
    <x v="1"/>
    <m/>
    <m/>
    <m/>
    <m/>
    <m/>
  </r>
  <r>
    <n v="288"/>
    <n v="112"/>
    <x v="287"/>
    <s v="Emnify"/>
    <s v="359857082547522"/>
    <x v="278"/>
    <s v="359857082547522"/>
    <m/>
    <x v="20"/>
    <x v="16"/>
    <x v="0"/>
    <x v="0"/>
    <x v="1"/>
    <m/>
    <m/>
    <m/>
    <m/>
    <m/>
  </r>
  <r>
    <n v="289"/>
    <n v="113"/>
    <x v="288"/>
    <s v="Emnify"/>
    <s v="0680023785"/>
    <x v="279"/>
    <s v="0680023785"/>
    <s v="864919058646072"/>
    <x v="12"/>
    <x v="49"/>
    <x v="0"/>
    <x v="0"/>
    <x v="1"/>
    <m/>
    <m/>
    <m/>
    <m/>
    <m/>
  </r>
  <r>
    <n v="290"/>
    <n v="114"/>
    <x v="289"/>
    <s v="Emnify"/>
    <s v="0680023786"/>
    <x v="280"/>
    <s v="0680023786"/>
    <s v="864919054645314"/>
    <x v="12"/>
    <x v="57"/>
    <x v="0"/>
    <x v="0"/>
    <x v="1"/>
    <m/>
    <m/>
    <m/>
    <m/>
    <m/>
  </r>
  <r>
    <n v="291"/>
    <n v="115"/>
    <x v="290"/>
    <s v="Emnify"/>
    <s v="0680023787"/>
    <x v="281"/>
    <s v="0680023787"/>
    <s v="864919058645272"/>
    <x v="12"/>
    <x v="49"/>
    <x v="0"/>
    <x v="0"/>
    <x v="1"/>
    <m/>
    <m/>
    <m/>
    <m/>
    <m/>
  </r>
  <r>
    <n v="292"/>
    <n v="116"/>
    <x v="291"/>
    <s v="Emnify"/>
    <s v="0680023788"/>
    <x v="282"/>
    <s v="0680023788"/>
    <s v="864919058645694"/>
    <x v="12"/>
    <x v="58"/>
    <x v="0"/>
    <x v="0"/>
    <x v="1"/>
    <m/>
    <m/>
    <m/>
    <m/>
    <m/>
  </r>
  <r>
    <n v="293"/>
    <n v="117"/>
    <x v="292"/>
    <s v="Emnify"/>
    <s v="359857084522713"/>
    <x v="283"/>
    <s v="359857084522713"/>
    <s v="359857084522713"/>
    <x v="20"/>
    <x v="49"/>
    <x v="0"/>
    <x v="0"/>
    <x v="1"/>
    <m/>
    <m/>
    <m/>
    <m/>
    <m/>
  </r>
  <r>
    <n v="294"/>
    <n v="118"/>
    <x v="293"/>
    <s v="Emnify"/>
    <s v="0680023789"/>
    <x v="284"/>
    <s v="0680023789"/>
    <s v="864919058658952"/>
    <x v="12"/>
    <x v="59"/>
    <x v="0"/>
    <x v="0"/>
    <x v="1"/>
    <m/>
    <m/>
    <m/>
    <m/>
    <m/>
  </r>
  <r>
    <n v="295"/>
    <n v="119"/>
    <x v="294"/>
    <s v="Emnify"/>
    <s v="860796050448242"/>
    <x v="285"/>
    <s v="860796050448242"/>
    <s v="860796050448242"/>
    <x v="21"/>
    <x v="60"/>
    <x v="6"/>
    <x v="3"/>
    <x v="1"/>
    <d v="2022-09-23T00:00:00"/>
    <m/>
    <m/>
    <m/>
    <m/>
  </r>
  <r>
    <n v="296"/>
    <n v="120"/>
    <x v="295"/>
    <s v="Emnify"/>
    <s v="860796050447707"/>
    <x v="286"/>
    <s v="860796050447707"/>
    <s v="860796050447707"/>
    <x v="21"/>
    <x v="60"/>
    <x v="6"/>
    <x v="3"/>
    <x v="1"/>
    <d v="2022-09-23T00:00:00"/>
    <m/>
    <m/>
    <m/>
    <m/>
  </r>
  <r>
    <n v="297"/>
    <n v="121"/>
    <x v="296"/>
    <s v="Emnify"/>
    <s v="010179000"/>
    <x v="287"/>
    <s v="010179000"/>
    <s v="353380101790003"/>
    <x v="6"/>
    <x v="59"/>
    <x v="0"/>
    <x v="0"/>
    <x v="1"/>
    <m/>
    <m/>
    <m/>
    <m/>
    <m/>
  </r>
  <r>
    <n v="298"/>
    <n v="122"/>
    <x v="297"/>
    <s v="Emnify"/>
    <s v="0680024098"/>
    <x v="288"/>
    <s v="0680024098"/>
    <s v="864919055302679"/>
    <x v="12"/>
    <x v="49"/>
    <x v="0"/>
    <x v="0"/>
    <x v="1"/>
    <m/>
    <m/>
    <m/>
    <m/>
    <m/>
  </r>
  <r>
    <n v="299"/>
    <n v="123"/>
    <x v="298"/>
    <s v="Emnify"/>
    <s v="0680024099"/>
    <x v="289"/>
    <s v="0680024099"/>
    <s v="864919055303396"/>
    <x v="12"/>
    <x v="61"/>
    <x v="0"/>
    <x v="0"/>
    <x v="1"/>
    <m/>
    <m/>
    <m/>
    <m/>
    <m/>
  </r>
  <r>
    <n v="300"/>
    <n v="124"/>
    <x v="299"/>
    <s v="Emnify"/>
    <s v="0680024100"/>
    <x v="290"/>
    <s v="0680024100"/>
    <s v="864919055261562"/>
    <x v="12"/>
    <x v="49"/>
    <x v="0"/>
    <x v="0"/>
    <x v="1"/>
    <m/>
    <m/>
    <m/>
    <m/>
    <m/>
  </r>
  <r>
    <n v="301"/>
    <n v="125"/>
    <x v="300"/>
    <s v="Emnify"/>
    <s v="0680024101"/>
    <x v="291"/>
    <s v="0680024101"/>
    <s v="864919055289918"/>
    <x v="12"/>
    <x v="49"/>
    <x v="0"/>
    <x v="0"/>
    <x v="1"/>
    <m/>
    <m/>
    <m/>
    <m/>
    <m/>
  </r>
  <r>
    <n v="302"/>
    <n v="126"/>
    <x v="301"/>
    <s v="Emnify"/>
    <s v="0680024102"/>
    <x v="20"/>
    <s v="0680024102"/>
    <s v="864919055318410"/>
    <x v="12"/>
    <x v="49"/>
    <x v="0"/>
    <x v="0"/>
    <x v="1"/>
    <m/>
    <m/>
    <m/>
    <m/>
    <m/>
  </r>
  <r>
    <n v="303"/>
    <n v="127"/>
    <x v="302"/>
    <s v="Emnify"/>
    <s v="869530043203583"/>
    <x v="292"/>
    <s v="869530043203583"/>
    <s v="869530043203583"/>
    <x v="2"/>
    <x v="62"/>
    <x v="0"/>
    <x v="0"/>
    <x v="1"/>
    <m/>
    <m/>
    <m/>
    <m/>
    <m/>
  </r>
  <r>
    <n v="304"/>
    <n v="128"/>
    <x v="303"/>
    <s v="Emnify"/>
    <s v="867553053372249"/>
    <x v="293"/>
    <s v="867553053372249"/>
    <s v="867553053372249"/>
    <x v="2"/>
    <x v="62"/>
    <x v="0"/>
    <x v="0"/>
    <x v="1"/>
    <m/>
    <m/>
    <m/>
    <m/>
    <m/>
  </r>
  <r>
    <n v="305"/>
    <n v="129"/>
    <x v="304"/>
    <s v="Emnify"/>
    <s v="0680024430"/>
    <x v="294"/>
    <s v="0680024430"/>
    <s v="864919058681871"/>
    <x v="12"/>
    <x v="49"/>
    <x v="0"/>
    <x v="0"/>
    <x v="1"/>
    <m/>
    <m/>
    <m/>
    <m/>
    <m/>
  </r>
  <r>
    <n v="306"/>
    <n v="130"/>
    <x v="305"/>
    <s v="Emnify"/>
    <s v="0680024431"/>
    <x v="295"/>
    <s v="0680024431"/>
    <s v="864919058682580"/>
    <x v="12"/>
    <x v="49"/>
    <x v="0"/>
    <x v="0"/>
    <x v="1"/>
    <m/>
    <m/>
    <m/>
    <m/>
    <m/>
  </r>
  <r>
    <n v="307"/>
    <n v="131"/>
    <x v="306"/>
    <s v="Emnify"/>
    <s v="0680024432"/>
    <x v="296"/>
    <s v="0680024432"/>
    <s v="864919058660370"/>
    <x v="12"/>
    <x v="49"/>
    <x v="0"/>
    <x v="0"/>
    <x v="1"/>
    <m/>
    <m/>
    <m/>
    <m/>
    <m/>
  </r>
  <r>
    <n v="308"/>
    <n v="132"/>
    <x v="307"/>
    <s v="Emnify"/>
    <s v="0680024433"/>
    <x v="297"/>
    <s v="0680024433"/>
    <s v="864919058715810"/>
    <x v="12"/>
    <x v="49"/>
    <x v="0"/>
    <x v="0"/>
    <x v="1"/>
    <m/>
    <m/>
    <m/>
    <m/>
    <m/>
  </r>
  <r>
    <n v="309"/>
    <n v="133"/>
    <x v="308"/>
    <s v="Emnify"/>
    <s v="0680024434"/>
    <x v="298"/>
    <s v="0680024434"/>
    <s v="864919058641883"/>
    <x v="12"/>
    <x v="49"/>
    <x v="0"/>
    <x v="0"/>
    <x v="1"/>
    <m/>
    <m/>
    <m/>
    <m/>
    <m/>
  </r>
  <r>
    <n v="310"/>
    <n v="134"/>
    <x v="309"/>
    <s v="Emnify"/>
    <s v="0680024435"/>
    <x v="299"/>
    <s v="0680024435"/>
    <s v="864919058682663"/>
    <x v="12"/>
    <x v="49"/>
    <x v="0"/>
    <x v="0"/>
    <x v="1"/>
    <m/>
    <m/>
    <m/>
    <m/>
    <m/>
  </r>
  <r>
    <n v="311"/>
    <n v="135"/>
    <x v="310"/>
    <s v="Emnify"/>
    <s v="0680024436"/>
    <x v="300"/>
    <s v="0680024436"/>
    <s v="864919058718095"/>
    <x v="12"/>
    <x v="17"/>
    <x v="0"/>
    <x v="0"/>
    <x v="1"/>
    <m/>
    <m/>
    <m/>
    <m/>
    <m/>
  </r>
  <r>
    <n v="312"/>
    <n v="136"/>
    <x v="311"/>
    <s v="Emnify"/>
    <s v="0680024437"/>
    <x v="301"/>
    <s v="0680024437"/>
    <s v="864919058662954"/>
    <x v="12"/>
    <x v="49"/>
    <x v="0"/>
    <x v="0"/>
    <x v="1"/>
    <m/>
    <m/>
    <m/>
    <m/>
    <m/>
  </r>
  <r>
    <n v="313"/>
    <n v="137"/>
    <x v="312"/>
    <s v="Emnify"/>
    <s v="0680024438"/>
    <x v="302"/>
    <s v="0680024438"/>
    <s v="864919058643699"/>
    <x v="12"/>
    <x v="49"/>
    <x v="0"/>
    <x v="0"/>
    <x v="1"/>
    <m/>
    <m/>
    <m/>
    <m/>
    <m/>
  </r>
  <r>
    <n v="314"/>
    <n v="138"/>
    <x v="313"/>
    <s v="Emnify"/>
    <s v="0680024439"/>
    <x v="303"/>
    <s v="0680024439"/>
    <s v="864919055271577"/>
    <x v="12"/>
    <x v="49"/>
    <x v="0"/>
    <x v="0"/>
    <x v="1"/>
    <m/>
    <m/>
    <m/>
    <m/>
    <m/>
  </r>
  <r>
    <n v="315"/>
    <n v="139"/>
    <x v="314"/>
    <s v="Emnify"/>
    <s v="0680024832"/>
    <x v="304"/>
    <s v="0680024832"/>
    <s v="864919058643798"/>
    <x v="12"/>
    <x v="37"/>
    <x v="0"/>
    <x v="0"/>
    <x v="1"/>
    <m/>
    <m/>
    <m/>
    <m/>
    <m/>
  </r>
  <r>
    <n v="316"/>
    <n v="140"/>
    <x v="315"/>
    <s v="Emnify"/>
    <s v="0680024833"/>
    <x v="305"/>
    <s v="0680024833"/>
    <s v="864919054442054"/>
    <x v="12"/>
    <x v="26"/>
    <x v="2"/>
    <x v="0"/>
    <x v="1"/>
    <m/>
    <m/>
    <m/>
    <m/>
    <m/>
  </r>
  <r>
    <n v="317"/>
    <n v="141"/>
    <x v="316"/>
    <s v="Emnify"/>
    <s v="0680024834"/>
    <x v="306"/>
    <s v="0680024834"/>
    <s v="864919058697133"/>
    <x v="12"/>
    <x v="26"/>
    <x v="2"/>
    <x v="0"/>
    <x v="1"/>
    <m/>
    <m/>
    <m/>
    <m/>
    <m/>
  </r>
  <r>
    <n v="318"/>
    <n v="142"/>
    <x v="317"/>
    <s v="Emnify"/>
    <s v="0680024835"/>
    <x v="307"/>
    <s v="0680024835"/>
    <s v="864919058680626"/>
    <x v="12"/>
    <x v="26"/>
    <x v="2"/>
    <x v="0"/>
    <x v="1"/>
    <m/>
    <m/>
    <m/>
    <m/>
    <m/>
  </r>
  <r>
    <n v="319"/>
    <n v="143"/>
    <x v="318"/>
    <s v="Emnify"/>
    <s v="0680024836"/>
    <x v="308"/>
    <s v="0680024836"/>
    <s v="864919054356197"/>
    <x v="12"/>
    <x v="26"/>
    <x v="2"/>
    <x v="0"/>
    <x v="1"/>
    <m/>
    <m/>
    <m/>
    <m/>
    <m/>
  </r>
  <r>
    <n v="320"/>
    <n v="144"/>
    <x v="319"/>
    <s v="Emnify"/>
    <s v="0680024837"/>
    <x v="309"/>
    <s v="0680024837"/>
    <s v="864919054362617"/>
    <x v="12"/>
    <x v="26"/>
    <x v="2"/>
    <x v="0"/>
    <x v="1"/>
    <m/>
    <m/>
    <m/>
    <m/>
    <m/>
  </r>
  <r>
    <n v="321"/>
    <n v="145"/>
    <x v="320"/>
    <s v="Emnify"/>
    <s v="0680024838"/>
    <x v="310"/>
    <s v="0680024838"/>
    <s v="864919058680667"/>
    <x v="12"/>
    <x v="26"/>
    <x v="2"/>
    <x v="0"/>
    <x v="1"/>
    <m/>
    <m/>
    <m/>
    <m/>
    <m/>
  </r>
  <r>
    <n v="322"/>
    <n v="146"/>
    <x v="321"/>
    <s v="Emnify"/>
    <s v="0680024839"/>
    <x v="311"/>
    <s v="0680024839"/>
    <s v="864919054402835"/>
    <x v="12"/>
    <x v="23"/>
    <x v="2"/>
    <x v="0"/>
    <x v="1"/>
    <m/>
    <m/>
    <m/>
    <m/>
    <m/>
  </r>
  <r>
    <n v="323"/>
    <n v="147"/>
    <x v="322"/>
    <s v="Emnify"/>
    <s v="867553057647448"/>
    <x v="312"/>
    <s v="867553057647448"/>
    <s v="867553057647448"/>
    <x v="22"/>
    <x v="34"/>
    <x v="7"/>
    <x v="4"/>
    <x v="1"/>
    <m/>
    <m/>
    <m/>
    <m/>
    <m/>
  </r>
  <r>
    <n v="324"/>
    <n v="148"/>
    <x v="323"/>
    <s v="Emnify"/>
    <s v="0680024856"/>
    <x v="313"/>
    <s v="0680024856"/>
    <s v="864919058718178"/>
    <x v="12"/>
    <x v="23"/>
    <x v="2"/>
    <x v="0"/>
    <x v="1"/>
    <m/>
    <m/>
    <m/>
    <m/>
    <m/>
  </r>
  <r>
    <n v="325"/>
    <n v="149"/>
    <x v="324"/>
    <s v="Emnify"/>
    <s v="860796050450628"/>
    <x v="314"/>
    <s v="860796050450628"/>
    <s v="860796050450628"/>
    <x v="21"/>
    <x v="60"/>
    <x v="6"/>
    <x v="3"/>
    <x v="1"/>
    <d v="2022-10-14T00:00:00"/>
    <m/>
    <m/>
    <m/>
    <m/>
  </r>
  <r>
    <n v="326"/>
    <n v="150"/>
    <x v="325"/>
    <s v="Emnify"/>
    <s v="860796050445115"/>
    <x v="315"/>
    <s v="860796050445115"/>
    <s v="860796050445115"/>
    <x v="21"/>
    <x v="60"/>
    <x v="6"/>
    <x v="3"/>
    <x v="1"/>
    <d v="2022-10-14T00:00:00"/>
    <m/>
    <m/>
    <m/>
    <m/>
  </r>
  <r>
    <n v="327"/>
    <n v="151"/>
    <x v="326"/>
    <s v="Emnify"/>
    <s v="0680024857"/>
    <x v="316"/>
    <s v="0680024857"/>
    <s v="864919058718087"/>
    <x v="12"/>
    <x v="31"/>
    <x v="2"/>
    <x v="0"/>
    <x v="1"/>
    <m/>
    <m/>
    <m/>
    <m/>
    <m/>
  </r>
  <r>
    <n v="328"/>
    <n v="152"/>
    <x v="327"/>
    <s v="Emnify"/>
    <s v="0680024858"/>
    <x v="317"/>
    <s v="0680024858"/>
    <s v="864919058643764"/>
    <x v="12"/>
    <x v="63"/>
    <x v="0"/>
    <x v="0"/>
    <x v="1"/>
    <m/>
    <m/>
    <m/>
    <m/>
    <m/>
  </r>
  <r>
    <n v="329"/>
    <n v="153"/>
    <x v="328"/>
    <s v="Emnify"/>
    <s v="0680024859"/>
    <x v="318"/>
    <s v="0680024859"/>
    <s v="864919058720349"/>
    <x v="12"/>
    <x v="31"/>
    <x v="2"/>
    <x v="0"/>
    <x v="1"/>
    <m/>
    <m/>
    <m/>
    <m/>
    <m/>
  </r>
  <r>
    <n v="330"/>
    <n v="154"/>
    <x v="329"/>
    <s v="Emnify"/>
    <s v="0680024860"/>
    <x v="319"/>
    <s v="0680024860"/>
    <s v="864919055248815"/>
    <x v="12"/>
    <x v="63"/>
    <x v="0"/>
    <x v="0"/>
    <x v="1"/>
    <m/>
    <m/>
    <m/>
    <m/>
    <m/>
  </r>
  <r>
    <n v="331"/>
    <n v="155"/>
    <x v="330"/>
    <s v="Emnify"/>
    <s v="'353549091592450"/>
    <x v="320"/>
    <s v="353549091592450"/>
    <s v="'353549091592450"/>
    <x v="21"/>
    <x v="64"/>
    <x v="0"/>
    <x v="0"/>
    <x v="1"/>
    <m/>
    <m/>
    <m/>
    <m/>
    <m/>
  </r>
  <r>
    <n v="332"/>
    <n v="156"/>
    <x v="331"/>
    <s v="Emnify"/>
    <s v="353549091554401"/>
    <x v="321"/>
    <s v="353549091554401"/>
    <s v="353549091554401"/>
    <x v="21"/>
    <x v="64"/>
    <x v="0"/>
    <x v="0"/>
    <x v="1"/>
    <m/>
    <m/>
    <m/>
    <m/>
    <m/>
  </r>
  <r>
    <n v="333"/>
    <n v="157"/>
    <x v="332"/>
    <s v="Emnify"/>
    <s v="353549091558295"/>
    <x v="322"/>
    <s v="353549091558295"/>
    <s v="353549091558295"/>
    <x v="21"/>
    <x v="64"/>
    <x v="0"/>
    <x v="0"/>
    <x v="1"/>
    <m/>
    <m/>
    <m/>
    <m/>
    <m/>
  </r>
  <r>
    <n v="334"/>
    <n v="158"/>
    <x v="333"/>
    <s v="Emnify"/>
    <s v="353549091557958"/>
    <x v="323"/>
    <s v="353549091557958"/>
    <s v="353549091557958"/>
    <x v="21"/>
    <x v="64"/>
    <x v="0"/>
    <x v="0"/>
    <x v="1"/>
    <m/>
    <m/>
    <m/>
    <m/>
    <m/>
  </r>
  <r>
    <n v="335"/>
    <n v="159"/>
    <x v="334"/>
    <s v="Emnify"/>
    <s v="0680026592"/>
    <x v="324"/>
    <s v="0680026592"/>
    <s v="860640059313181"/>
    <x v="12"/>
    <x v="4"/>
    <x v="0"/>
    <x v="0"/>
    <x v="1"/>
    <m/>
    <m/>
    <m/>
    <m/>
    <m/>
  </r>
  <r>
    <n v="336"/>
    <n v="160"/>
    <x v="335"/>
    <s v="Emnify"/>
    <s v="0680024861"/>
    <x v="325"/>
    <s v="0680024861"/>
    <m/>
    <x v="12"/>
    <x v="17"/>
    <x v="0"/>
    <x v="0"/>
    <x v="1"/>
    <m/>
    <m/>
    <m/>
    <m/>
    <m/>
  </r>
  <r>
    <n v="337"/>
    <n v="161"/>
    <x v="336"/>
    <s v="Emnify"/>
    <s v="860796050449901"/>
    <x v="326"/>
    <s v="860796050449901"/>
    <s v="860796050449901"/>
    <x v="21"/>
    <x v="60"/>
    <x v="6"/>
    <x v="3"/>
    <x v="1"/>
    <d v="2022-10-27T00:00:00"/>
    <m/>
    <m/>
    <m/>
    <m/>
  </r>
  <r>
    <n v="338"/>
    <n v="162"/>
    <x v="337"/>
    <s v="Emnify"/>
    <s v="860796050450057"/>
    <x v="327"/>
    <s v="860796050450057"/>
    <s v="860796050450057"/>
    <x v="21"/>
    <x v="60"/>
    <x v="6"/>
    <x v="3"/>
    <x v="1"/>
    <d v="2022-10-27T00:00:00"/>
    <m/>
    <m/>
    <m/>
    <m/>
  </r>
  <r>
    <n v="339"/>
    <n v="163"/>
    <x v="338"/>
    <s v="Emnify"/>
    <s v="0680024862"/>
    <x v="328"/>
    <s v="0680024862"/>
    <s v="864919055325050"/>
    <x v="12"/>
    <x v="65"/>
    <x v="0"/>
    <x v="0"/>
    <x v="1"/>
    <m/>
    <m/>
    <m/>
    <m/>
    <m/>
  </r>
  <r>
    <n v="340"/>
    <n v="164"/>
    <x v="339"/>
    <s v="Emnify"/>
    <s v="0680024863"/>
    <x v="329"/>
    <s v="0680024863"/>
    <s v="864919055307033"/>
    <x v="12"/>
    <x v="66"/>
    <x v="0"/>
    <x v="0"/>
    <x v="1"/>
    <m/>
    <m/>
    <m/>
    <m/>
    <m/>
  </r>
  <r>
    <n v="341"/>
    <n v="165"/>
    <x v="340"/>
    <s v="Emnify"/>
    <s v="0680024864"/>
    <x v="330"/>
    <s v="0680024864"/>
    <s v="867919055325035"/>
    <x v="12"/>
    <x v="67"/>
    <x v="0"/>
    <x v="0"/>
    <x v="1"/>
    <m/>
    <m/>
    <m/>
    <m/>
    <m/>
  </r>
  <r>
    <n v="342"/>
    <n v="166"/>
    <x v="341"/>
    <s v="Emnify"/>
    <s v="0520056247"/>
    <x v="331"/>
    <s v="0520056247"/>
    <s v="867198053131490"/>
    <x v="15"/>
    <x v="67"/>
    <x v="0"/>
    <x v="0"/>
    <x v="1"/>
    <m/>
    <m/>
    <m/>
    <m/>
    <m/>
  </r>
  <r>
    <n v="343"/>
    <n v="167"/>
    <x v="342"/>
    <s v="Emnify"/>
    <s v="0520056251"/>
    <x v="332"/>
    <s v="0520056251"/>
    <s v="867198053171314"/>
    <x v="15"/>
    <x v="67"/>
    <x v="0"/>
    <x v="0"/>
    <x v="1"/>
    <m/>
    <m/>
    <m/>
    <m/>
    <m/>
  </r>
  <r>
    <n v="344"/>
    <n v="168"/>
    <x v="343"/>
    <s v="Emnify"/>
    <s v="0680024865"/>
    <x v="333"/>
    <s v="0680024865"/>
    <s v="864919055297317"/>
    <x v="12"/>
    <x v="68"/>
    <x v="0"/>
    <x v="0"/>
    <x v="1"/>
    <m/>
    <m/>
    <m/>
    <m/>
    <m/>
  </r>
  <r>
    <n v="345"/>
    <n v="169"/>
    <x v="344"/>
    <s v="Emnify"/>
    <s v="0520056248"/>
    <x v="334"/>
    <s v="0520056248"/>
    <s v="867198053223537"/>
    <x v="15"/>
    <x v="68"/>
    <x v="0"/>
    <x v="0"/>
    <x v="1"/>
    <m/>
    <m/>
    <m/>
    <m/>
    <m/>
  </r>
  <r>
    <n v="346"/>
    <n v="170"/>
    <x v="345"/>
    <s v="Emnify"/>
    <s v="0520056249"/>
    <x v="335"/>
    <s v="0520056249"/>
    <s v="867198053135963"/>
    <x v="15"/>
    <x v="68"/>
    <x v="0"/>
    <x v="0"/>
    <x v="1"/>
    <m/>
    <m/>
    <m/>
    <m/>
    <m/>
  </r>
  <r>
    <n v="347"/>
    <n v="171"/>
    <x v="346"/>
    <s v="Emnify"/>
    <s v="0520056250"/>
    <x v="336"/>
    <s v="0520056250"/>
    <s v="867198053172072"/>
    <x v="15"/>
    <x v="68"/>
    <x v="0"/>
    <x v="0"/>
    <x v="1"/>
    <m/>
    <m/>
    <m/>
    <m/>
    <m/>
  </r>
  <r>
    <n v="348"/>
    <n v="172"/>
    <x v="347"/>
    <s v="Emnify"/>
    <s v="860796050505603"/>
    <x v="337"/>
    <s v="860796050505603"/>
    <s v="860796050505603"/>
    <x v="21"/>
    <x v="67"/>
    <x v="0"/>
    <x v="0"/>
    <x v="1"/>
    <m/>
    <m/>
    <m/>
    <m/>
    <m/>
  </r>
  <r>
    <n v="349"/>
    <n v="173"/>
    <x v="348"/>
    <s v="Emnify"/>
    <s v="864351053457935"/>
    <x v="338"/>
    <s v="864351053457935"/>
    <s v="864351053457935"/>
    <x v="23"/>
    <x v="45"/>
    <x v="0"/>
    <x v="0"/>
    <x v="1"/>
    <m/>
    <m/>
    <m/>
    <m/>
    <m/>
  </r>
  <r>
    <n v="350"/>
    <n v="174"/>
    <x v="349"/>
    <s v="Emnify"/>
    <s v="864351053316537"/>
    <x v="339"/>
    <s v="864351053316537"/>
    <s v="864351053316537"/>
    <x v="23"/>
    <x v="45"/>
    <x v="0"/>
    <x v="0"/>
    <x v="1"/>
    <m/>
    <m/>
    <m/>
    <m/>
    <m/>
  </r>
  <r>
    <n v="351"/>
    <n v="175"/>
    <x v="350"/>
    <s v="Emnify"/>
    <s v="1230001293"/>
    <x v="340"/>
    <s v="1230001293"/>
    <s v="8675530577093000"/>
    <x v="24"/>
    <x v="67"/>
    <x v="0"/>
    <x v="0"/>
    <x v="1"/>
    <m/>
    <m/>
    <m/>
    <m/>
    <m/>
  </r>
  <r>
    <n v="352"/>
    <n v="176"/>
    <x v="351"/>
    <s v="Emnify"/>
    <m/>
    <x v="246"/>
    <m/>
    <m/>
    <x v="16"/>
    <x v="50"/>
    <x v="4"/>
    <x v="2"/>
    <x v="1"/>
    <d v="2022-01-02T00:00:00"/>
    <m/>
    <m/>
    <m/>
    <m/>
  </r>
  <r>
    <n v="353"/>
    <n v="177"/>
    <x v="352"/>
    <s v="Emnify"/>
    <m/>
    <x v="246"/>
    <m/>
    <m/>
    <x v="16"/>
    <x v="50"/>
    <x v="4"/>
    <x v="2"/>
    <x v="1"/>
    <d v="2022-01-05T00:00:00"/>
    <m/>
    <m/>
    <m/>
    <m/>
  </r>
  <r>
    <n v="354"/>
    <n v="178"/>
    <x v="353"/>
    <s v="Emnify"/>
    <m/>
    <x v="246"/>
    <m/>
    <m/>
    <x v="16"/>
    <x v="50"/>
    <x v="4"/>
    <x v="2"/>
    <x v="1"/>
    <d v="2022-01-05T00:00:00"/>
    <m/>
    <m/>
    <m/>
    <m/>
  </r>
  <r>
    <n v="355"/>
    <n v="179"/>
    <x v="354"/>
    <s v="Emnify"/>
    <m/>
    <x v="246"/>
    <m/>
    <m/>
    <x v="16"/>
    <x v="50"/>
    <x v="4"/>
    <x v="2"/>
    <x v="1"/>
    <d v="2022-01-21T00:00:00"/>
    <m/>
    <m/>
    <m/>
    <m/>
  </r>
  <r>
    <n v="356"/>
    <n v="180"/>
    <x v="355"/>
    <s v="Emnify"/>
    <m/>
    <x v="246"/>
    <m/>
    <m/>
    <x v="16"/>
    <x v="50"/>
    <x v="4"/>
    <x v="2"/>
    <x v="1"/>
    <d v="2022-01-21T00:00:00"/>
    <m/>
    <m/>
    <m/>
    <m/>
  </r>
  <r>
    <n v="357"/>
    <n v="181"/>
    <x v="356"/>
    <s v="Emnify"/>
    <m/>
    <x v="246"/>
    <m/>
    <m/>
    <x v="16"/>
    <x v="50"/>
    <x v="4"/>
    <x v="2"/>
    <x v="1"/>
    <d v="2022-01-05T00:00:00"/>
    <m/>
    <m/>
    <m/>
    <m/>
  </r>
  <r>
    <n v="358"/>
    <n v="182"/>
    <x v="357"/>
    <s v="Emnify"/>
    <m/>
    <x v="246"/>
    <m/>
    <m/>
    <x v="16"/>
    <x v="50"/>
    <x v="4"/>
    <x v="2"/>
    <x v="1"/>
    <d v="2022-01-21T00:00:00"/>
    <m/>
    <m/>
    <m/>
    <m/>
  </r>
  <r>
    <n v="359"/>
    <n v="183"/>
    <x v="358"/>
    <s v="Emnify"/>
    <m/>
    <x v="246"/>
    <m/>
    <m/>
    <x v="16"/>
    <x v="50"/>
    <x v="4"/>
    <x v="2"/>
    <x v="1"/>
    <d v="2022-01-21T00:00:00"/>
    <m/>
    <m/>
    <m/>
    <m/>
  </r>
  <r>
    <n v="360"/>
    <n v="184"/>
    <x v="359"/>
    <s v="Emnify"/>
    <m/>
    <x v="246"/>
    <m/>
    <m/>
    <x v="16"/>
    <x v="50"/>
    <x v="4"/>
    <x v="2"/>
    <x v="1"/>
    <d v="2022-01-21T00:00:00"/>
    <m/>
    <m/>
    <m/>
    <m/>
  </r>
  <r>
    <n v="361"/>
    <n v="185"/>
    <x v="360"/>
    <s v="Emnify"/>
    <m/>
    <x v="246"/>
    <m/>
    <m/>
    <x v="16"/>
    <x v="50"/>
    <x v="4"/>
    <x v="2"/>
    <x v="1"/>
    <d v="2022-01-21T00:00:00"/>
    <m/>
    <m/>
    <m/>
    <m/>
  </r>
  <r>
    <n v="362"/>
    <n v="186"/>
    <x v="361"/>
    <s v="Emnify"/>
    <s v="0950003933"/>
    <x v="341"/>
    <s v="0950003933"/>
    <s v="016121000039335"/>
    <x v="25"/>
    <x v="10"/>
    <x v="8"/>
    <x v="0"/>
    <x v="1"/>
    <m/>
    <m/>
    <m/>
    <m/>
    <m/>
  </r>
  <r>
    <n v="363"/>
    <n v="187"/>
    <x v="362"/>
    <s v="Emnify"/>
    <s v="0950003934"/>
    <x v="342"/>
    <s v="0950003934"/>
    <s v="016121000039343"/>
    <x v="25"/>
    <x v="17"/>
    <x v="0"/>
    <x v="0"/>
    <x v="1"/>
    <m/>
    <m/>
    <m/>
    <m/>
    <m/>
  </r>
  <r>
    <n v="364"/>
    <n v="188"/>
    <x v="363"/>
    <s v="Emnify"/>
    <s v="0950003935"/>
    <x v="343"/>
    <s v="0950003935"/>
    <s v="016121000039350"/>
    <x v="25"/>
    <x v="18"/>
    <x v="0"/>
    <x v="0"/>
    <x v="1"/>
    <m/>
    <m/>
    <m/>
    <m/>
    <m/>
  </r>
  <r>
    <n v="365"/>
    <n v="189"/>
    <x v="364"/>
    <s v="Emnify"/>
    <m/>
    <x v="344"/>
    <m/>
    <m/>
    <x v="26"/>
    <x v="69"/>
    <x v="7"/>
    <x v="5"/>
    <x v="1"/>
    <m/>
    <m/>
    <m/>
    <m/>
    <m/>
  </r>
  <r>
    <n v="366"/>
    <n v="190"/>
    <x v="365"/>
    <s v="Emnify"/>
    <m/>
    <x v="344"/>
    <m/>
    <m/>
    <x v="26"/>
    <x v="69"/>
    <x v="7"/>
    <x v="5"/>
    <x v="1"/>
    <m/>
    <m/>
    <m/>
    <m/>
    <m/>
  </r>
  <r>
    <n v="367"/>
    <n v="191"/>
    <x v="366"/>
    <s v="Emnify"/>
    <m/>
    <x v="344"/>
    <m/>
    <m/>
    <x v="26"/>
    <x v="69"/>
    <x v="7"/>
    <x v="5"/>
    <x v="1"/>
    <m/>
    <m/>
    <m/>
    <m/>
    <m/>
  </r>
  <r>
    <n v="368"/>
    <n v="192"/>
    <x v="367"/>
    <s v="Emnify"/>
    <m/>
    <x v="344"/>
    <m/>
    <m/>
    <x v="26"/>
    <x v="69"/>
    <x v="7"/>
    <x v="5"/>
    <x v="1"/>
    <m/>
    <m/>
    <m/>
    <m/>
    <m/>
  </r>
  <r>
    <n v="369"/>
    <n v="193"/>
    <x v="368"/>
    <s v="Emnify"/>
    <m/>
    <x v="344"/>
    <m/>
    <m/>
    <x v="26"/>
    <x v="69"/>
    <x v="7"/>
    <x v="5"/>
    <x v="1"/>
    <m/>
    <m/>
    <m/>
    <m/>
    <m/>
  </r>
  <r>
    <n v="370"/>
    <n v="194"/>
    <x v="369"/>
    <s v="Emnify"/>
    <m/>
    <x v="344"/>
    <m/>
    <m/>
    <x v="26"/>
    <x v="69"/>
    <x v="7"/>
    <x v="5"/>
    <x v="1"/>
    <m/>
    <m/>
    <m/>
    <m/>
    <m/>
  </r>
  <r>
    <n v="371"/>
    <n v="195"/>
    <x v="370"/>
    <s v="Emnify"/>
    <m/>
    <x v="344"/>
    <m/>
    <m/>
    <x v="26"/>
    <x v="69"/>
    <x v="7"/>
    <x v="5"/>
    <x v="1"/>
    <m/>
    <m/>
    <m/>
    <m/>
    <m/>
  </r>
  <r>
    <n v="372"/>
    <n v="196"/>
    <x v="371"/>
    <s v="Emnify"/>
    <m/>
    <x v="344"/>
    <m/>
    <m/>
    <x v="26"/>
    <x v="69"/>
    <x v="7"/>
    <x v="5"/>
    <x v="1"/>
    <m/>
    <m/>
    <m/>
    <m/>
    <m/>
  </r>
  <r>
    <n v="373"/>
    <n v="197"/>
    <x v="372"/>
    <s v="Emnify"/>
    <m/>
    <x v="344"/>
    <m/>
    <m/>
    <x v="26"/>
    <x v="69"/>
    <x v="7"/>
    <x v="5"/>
    <x v="1"/>
    <m/>
    <m/>
    <m/>
    <m/>
    <m/>
  </r>
  <r>
    <n v="374"/>
    <n v="198"/>
    <x v="373"/>
    <s v="Emnify"/>
    <m/>
    <x v="344"/>
    <m/>
    <m/>
    <x v="26"/>
    <x v="69"/>
    <x v="7"/>
    <x v="5"/>
    <x v="1"/>
    <m/>
    <m/>
    <m/>
    <m/>
    <m/>
  </r>
  <r>
    <n v="375"/>
    <n v="199"/>
    <x v="374"/>
    <s v="Emnify"/>
    <m/>
    <x v="344"/>
    <m/>
    <m/>
    <x v="26"/>
    <x v="69"/>
    <x v="7"/>
    <x v="5"/>
    <x v="1"/>
    <m/>
    <m/>
    <m/>
    <m/>
    <m/>
  </r>
  <r>
    <n v="376"/>
    <n v="200"/>
    <x v="375"/>
    <s v="Emnify"/>
    <m/>
    <x v="344"/>
    <m/>
    <m/>
    <x v="26"/>
    <x v="69"/>
    <x v="7"/>
    <x v="5"/>
    <x v="1"/>
    <m/>
    <m/>
    <m/>
    <m/>
    <m/>
  </r>
  <r>
    <n v="377"/>
    <n v="201"/>
    <x v="376"/>
    <s v="Emnify"/>
    <m/>
    <x v="344"/>
    <m/>
    <m/>
    <x v="26"/>
    <x v="69"/>
    <x v="7"/>
    <x v="5"/>
    <x v="1"/>
    <m/>
    <m/>
    <m/>
    <m/>
    <m/>
  </r>
  <r>
    <n v="378"/>
    <n v="202"/>
    <x v="377"/>
    <s v="Emnify"/>
    <m/>
    <x v="344"/>
    <m/>
    <m/>
    <x v="26"/>
    <x v="69"/>
    <x v="7"/>
    <x v="5"/>
    <x v="1"/>
    <m/>
    <m/>
    <m/>
    <m/>
    <m/>
  </r>
  <r>
    <n v="379"/>
    <n v="203"/>
    <x v="378"/>
    <s v="Emnify"/>
    <m/>
    <x v="344"/>
    <m/>
    <m/>
    <x v="26"/>
    <x v="69"/>
    <x v="7"/>
    <x v="5"/>
    <x v="1"/>
    <m/>
    <m/>
    <m/>
    <m/>
    <m/>
  </r>
  <r>
    <n v="380"/>
    <n v="1"/>
    <x v="379"/>
    <s v="globalStar"/>
    <s v="0-2677333"/>
    <x v="345"/>
    <s v="0-2677333"/>
    <s v="0-2677333"/>
    <x v="27"/>
    <x v="34"/>
    <x v="2"/>
    <x v="0"/>
    <x v="2"/>
    <m/>
    <n v="1"/>
    <m/>
    <m/>
    <m/>
  </r>
  <r>
    <n v="381"/>
    <n v="1"/>
    <x v="380"/>
    <n v="3310200444"/>
    <s v="CELULAR"/>
    <x v="346"/>
    <m/>
    <m/>
    <x v="28"/>
    <x v="70"/>
    <x v="0"/>
    <x v="6"/>
    <x v="3"/>
    <m/>
    <n v="3"/>
    <m/>
    <m/>
    <m/>
  </r>
  <r>
    <n v="382"/>
    <n v="2"/>
    <x v="381"/>
    <s v="8952020021257425641"/>
    <s v="CELULAR"/>
    <x v="347"/>
    <s v="862193026464602"/>
    <m/>
    <x v="28"/>
    <x v="70"/>
    <x v="0"/>
    <x v="6"/>
    <x v="3"/>
    <m/>
    <n v="1"/>
    <m/>
    <m/>
    <m/>
  </r>
  <r>
    <n v="383"/>
    <n v="3"/>
    <x v="382"/>
    <s v="8952020519253443294"/>
    <s v="0470000198"/>
    <x v="348"/>
    <s v="0470000198"/>
    <m/>
    <x v="14"/>
    <x v="12"/>
    <x v="0"/>
    <x v="0"/>
    <x v="3"/>
    <m/>
    <n v="1"/>
    <m/>
    <m/>
    <m/>
  </r>
  <r>
    <n v="384"/>
    <n v="4"/>
    <x v="383"/>
    <n v="3316000759"/>
    <s v="1631174754"/>
    <x v="349"/>
    <s v="1631174754"/>
    <m/>
    <x v="5"/>
    <x v="2"/>
    <x v="0"/>
    <x v="0"/>
    <x v="3"/>
    <m/>
    <n v="1"/>
    <m/>
    <m/>
    <m/>
  </r>
  <r>
    <n v="385"/>
    <n v="5"/>
    <x v="384"/>
    <n v="3316019756"/>
    <s v="1632263060"/>
    <x v="350"/>
    <s v="1632263060"/>
    <m/>
    <x v="5"/>
    <x v="2"/>
    <x v="0"/>
    <x v="0"/>
    <x v="3"/>
    <m/>
    <n v="1"/>
    <m/>
    <m/>
    <m/>
  </r>
  <r>
    <n v="386"/>
    <n v="6"/>
    <x v="385"/>
    <n v="3316021147"/>
    <s v="1632263054"/>
    <x v="351"/>
    <s v="1632263054"/>
    <m/>
    <x v="5"/>
    <x v="2"/>
    <x v="0"/>
    <x v="0"/>
    <x v="3"/>
    <m/>
    <n v="1"/>
    <m/>
    <m/>
    <m/>
  </r>
  <r>
    <n v="387"/>
    <n v="7"/>
    <x v="386"/>
    <n v="3316026798"/>
    <s v="010057798"/>
    <x v="352"/>
    <s v="010057798"/>
    <m/>
    <x v="6"/>
    <x v="8"/>
    <x v="1"/>
    <x v="0"/>
    <x v="3"/>
    <m/>
    <n v="1"/>
    <m/>
    <m/>
    <m/>
  </r>
  <r>
    <n v="388"/>
    <n v="8"/>
    <x v="387"/>
    <n v="3316056794"/>
    <s v="0520000262"/>
    <x v="353"/>
    <s v="0520000262"/>
    <m/>
    <x v="29"/>
    <x v="23"/>
    <x v="2"/>
    <x v="0"/>
    <x v="3"/>
    <m/>
    <n v="1"/>
    <m/>
    <m/>
    <m/>
  </r>
  <r>
    <n v="389"/>
    <n v="9"/>
    <x v="388"/>
    <s v="8952020320550709390"/>
    <s v="0680012392"/>
    <x v="354"/>
    <s v="0680012392"/>
    <s v="868923058918172"/>
    <x v="12"/>
    <x v="31"/>
    <x v="2"/>
    <x v="0"/>
    <x v="3"/>
    <m/>
    <n v="1"/>
    <m/>
    <m/>
    <m/>
  </r>
  <r>
    <n v="390"/>
    <n v="10"/>
    <x v="389"/>
    <n v="3331156603"/>
    <s v="010052530"/>
    <x v="355"/>
    <s v="010052530"/>
    <m/>
    <x v="6"/>
    <x v="8"/>
    <x v="1"/>
    <x v="0"/>
    <x v="3"/>
    <m/>
    <n v="1"/>
    <m/>
    <m/>
    <m/>
  </r>
  <r>
    <n v="391"/>
    <n v="11"/>
    <x v="390"/>
    <n v="3331156615"/>
    <s v="862193026643270"/>
    <x v="356"/>
    <s v="862193026643270"/>
    <m/>
    <x v="3"/>
    <x v="19"/>
    <x v="0"/>
    <x v="0"/>
    <x v="3"/>
    <m/>
    <n v="1"/>
    <m/>
    <m/>
    <m/>
  </r>
  <r>
    <n v="392"/>
    <n v="12"/>
    <x v="391"/>
    <n v="3331156683"/>
    <s v="864802030440006"/>
    <x v="357"/>
    <s v="864802030440006"/>
    <s v="864802030440006"/>
    <x v="3"/>
    <x v="0"/>
    <x v="0"/>
    <x v="0"/>
    <x v="3"/>
    <m/>
    <n v="1"/>
    <m/>
    <m/>
    <m/>
  </r>
  <r>
    <n v="393"/>
    <n v="13"/>
    <x v="392"/>
    <s v="8952020520150121587"/>
    <s v="860599001856459"/>
    <x v="358"/>
    <s v="860599001856459"/>
    <s v="860599001856459"/>
    <x v="30"/>
    <x v="71"/>
    <x v="0"/>
    <x v="0"/>
    <x v="3"/>
    <m/>
    <n v="1"/>
    <m/>
    <m/>
    <m/>
  </r>
  <r>
    <n v="394"/>
    <n v="14"/>
    <x v="393"/>
    <n v="3331156783"/>
    <s v="862193026618025"/>
    <x v="359"/>
    <s v="862193026618025"/>
    <m/>
    <x v="3"/>
    <x v="19"/>
    <x v="0"/>
    <x v="0"/>
    <x v="3"/>
    <m/>
    <n v="1"/>
    <m/>
    <m/>
    <m/>
  </r>
  <r>
    <n v="395"/>
    <n v="15"/>
    <x v="394"/>
    <s v="8952020320550709416"/>
    <s v="0680012391"/>
    <x v="360"/>
    <s v="0680012391"/>
    <s v="868923058883095"/>
    <x v="12"/>
    <x v="31"/>
    <x v="2"/>
    <x v="0"/>
    <x v="3"/>
    <m/>
    <n v="1"/>
    <m/>
    <m/>
    <m/>
  </r>
  <r>
    <n v="396"/>
    <n v="16"/>
    <x v="395"/>
    <s v="8952020920150232311"/>
    <s v="3030690"/>
    <x v="361"/>
    <s v="3030690"/>
    <s v="3030690"/>
    <x v="31"/>
    <x v="24"/>
    <x v="0"/>
    <x v="0"/>
    <x v="3"/>
    <m/>
    <n v="1"/>
    <m/>
    <m/>
    <m/>
  </r>
  <r>
    <n v="397"/>
    <n v="17"/>
    <x v="396"/>
    <n v="3331156883"/>
    <s v="CELULAR"/>
    <x v="362"/>
    <m/>
    <m/>
    <x v="32"/>
    <x v="70"/>
    <x v="0"/>
    <x v="6"/>
    <x v="3"/>
    <m/>
    <n v="3"/>
    <m/>
    <m/>
    <m/>
  </r>
  <r>
    <n v="398"/>
    <n v="18"/>
    <x v="397"/>
    <n v="3331157064"/>
    <s v="862193026643346"/>
    <x v="363"/>
    <s v="862193026643346"/>
    <m/>
    <x v="3"/>
    <x v="2"/>
    <x v="0"/>
    <x v="0"/>
    <x v="3"/>
    <m/>
    <n v="1"/>
    <m/>
    <m/>
    <m/>
  </r>
  <r>
    <n v="399"/>
    <n v="19"/>
    <x v="398"/>
    <n v="3331157081"/>
    <s v="1631174403"/>
    <x v="364"/>
    <s v="1631174403"/>
    <m/>
    <x v="5"/>
    <x v="2"/>
    <x v="0"/>
    <x v="0"/>
    <x v="3"/>
    <m/>
    <n v="1"/>
    <m/>
    <m/>
    <m/>
  </r>
  <r>
    <n v="400"/>
    <n v="20"/>
    <x v="399"/>
    <s v="8952020920150232329"/>
    <s v="205913844"/>
    <x v="365"/>
    <s v="205913844"/>
    <s v="205913844"/>
    <x v="1"/>
    <x v="72"/>
    <x v="0"/>
    <x v="0"/>
    <x v="3"/>
    <m/>
    <n v="1"/>
    <m/>
    <m/>
    <m/>
  </r>
  <r>
    <n v="401"/>
    <n v="21"/>
    <x v="400"/>
    <n v="3339558948"/>
    <s v="1632263057"/>
    <x v="366"/>
    <s v="1632263057"/>
    <m/>
    <x v="5"/>
    <x v="2"/>
    <x v="0"/>
    <x v="0"/>
    <x v="3"/>
    <m/>
    <n v="1"/>
    <m/>
    <m/>
    <m/>
  </r>
  <r>
    <n v="402"/>
    <n v="22"/>
    <x v="401"/>
    <n v="3339561780"/>
    <s v="010057207"/>
    <x v="367"/>
    <s v="010057207"/>
    <m/>
    <x v="6"/>
    <x v="8"/>
    <x v="1"/>
    <x v="0"/>
    <x v="3"/>
    <m/>
    <n v="1"/>
    <m/>
    <m/>
    <m/>
  </r>
  <r>
    <n v="403"/>
    <n v="23"/>
    <x v="402"/>
    <s v="8952020220651435665"/>
    <s v="0680015874"/>
    <x v="368"/>
    <s v="0680015874"/>
    <s v="868199054608261"/>
    <x v="12"/>
    <x v="26"/>
    <x v="2"/>
    <x v="0"/>
    <x v="3"/>
    <m/>
    <n v="1"/>
    <s v="STI"/>
    <m/>
    <m/>
  </r>
  <r>
    <n v="404"/>
    <n v="24"/>
    <x v="403"/>
    <n v="3339682584"/>
    <s v="1632263069"/>
    <x v="369"/>
    <s v="1632263069"/>
    <m/>
    <x v="5"/>
    <x v="2"/>
    <x v="0"/>
    <x v="0"/>
    <x v="3"/>
    <m/>
    <n v="1"/>
    <m/>
    <m/>
    <m/>
  </r>
  <r>
    <n v="405"/>
    <n v="25"/>
    <x v="404"/>
    <n v="3339682593"/>
    <s v="1632263082"/>
    <x v="370"/>
    <s v="1632263082"/>
    <m/>
    <x v="5"/>
    <x v="2"/>
    <x v="0"/>
    <x v="0"/>
    <x v="3"/>
    <m/>
    <n v="1"/>
    <m/>
    <m/>
    <m/>
  </r>
  <r>
    <n v="406"/>
    <n v="26"/>
    <x v="405"/>
    <s v="8952020220651435699"/>
    <s v="0680015873"/>
    <x v="371"/>
    <s v="0680015873"/>
    <s v="868199054609335"/>
    <x v="12"/>
    <x v="26"/>
    <x v="2"/>
    <x v="0"/>
    <x v="3"/>
    <m/>
    <n v="1"/>
    <s v="STI"/>
    <m/>
    <m/>
  </r>
  <r>
    <n v="407"/>
    <n v="27"/>
    <x v="406"/>
    <n v="3781165262"/>
    <s v="864802030404473"/>
    <x v="372"/>
    <s v="864802030404473"/>
    <s v="864802030404473"/>
    <x v="3"/>
    <x v="20"/>
    <x v="0"/>
    <x v="0"/>
    <x v="3"/>
    <m/>
    <n v="1"/>
    <m/>
    <m/>
    <m/>
  </r>
  <r>
    <n v="408"/>
    <n v="28"/>
    <x v="407"/>
    <n v="3781165262"/>
    <s v="864802030436889"/>
    <x v="373"/>
    <s v="864802030436889"/>
    <s v="864802030436889"/>
    <x v="3"/>
    <x v="17"/>
    <x v="0"/>
    <x v="0"/>
    <x v="3"/>
    <m/>
    <n v="1"/>
    <m/>
    <m/>
    <m/>
  </r>
  <r>
    <n v="409"/>
    <n v="29"/>
    <x v="408"/>
    <n v="3781166711"/>
    <s v="868034000286468"/>
    <x v="374"/>
    <s v="868034000286468"/>
    <s v="868034000286468"/>
    <x v="3"/>
    <x v="26"/>
    <x v="2"/>
    <x v="0"/>
    <x v="3"/>
    <m/>
    <n v="1"/>
    <m/>
    <m/>
    <m/>
  </r>
  <r>
    <n v="410"/>
    <n v="30"/>
    <x v="409"/>
    <n v="3781166712"/>
    <s v="0520000094"/>
    <x v="375"/>
    <s v="0520000094"/>
    <s v="8952020518651522634"/>
    <x v="29"/>
    <x v="73"/>
    <x v="0"/>
    <x v="0"/>
    <x v="3"/>
    <m/>
    <n v="1"/>
    <m/>
    <m/>
    <m/>
  </r>
  <r>
    <n v="411"/>
    <n v="31"/>
    <x v="410"/>
    <n v="3781166876"/>
    <s v="0520000095"/>
    <x v="376"/>
    <s v="0520000095"/>
    <s v="8952020518651522626"/>
    <x v="29"/>
    <x v="73"/>
    <x v="0"/>
    <x v="0"/>
    <x v="3"/>
    <m/>
    <n v="1"/>
    <m/>
    <m/>
    <m/>
  </r>
  <r>
    <n v="412"/>
    <n v="32"/>
    <x v="411"/>
    <n v="3781166877"/>
    <s v="010070280"/>
    <x v="377"/>
    <s v="010070280"/>
    <m/>
    <x v="6"/>
    <x v="7"/>
    <x v="1"/>
    <x v="0"/>
    <x v="3"/>
    <m/>
    <n v="1"/>
    <m/>
    <m/>
    <m/>
  </r>
  <r>
    <n v="413"/>
    <n v="33"/>
    <x v="412"/>
    <s v="8952020320550709408"/>
    <s v="0680012394"/>
    <x v="378"/>
    <s v="0680012394"/>
    <s v="868923058918297"/>
    <x v="12"/>
    <x v="31"/>
    <x v="2"/>
    <x v="0"/>
    <x v="3"/>
    <m/>
    <n v="1"/>
    <m/>
    <m/>
    <m/>
  </r>
  <r>
    <n v="414"/>
    <n v="34"/>
    <x v="413"/>
    <n v="3781166879"/>
    <s v="0520000261"/>
    <x v="379"/>
    <s v="0520000261"/>
    <m/>
    <x v="29"/>
    <x v="23"/>
    <x v="2"/>
    <x v="0"/>
    <x v="3"/>
    <m/>
    <n v="1"/>
    <m/>
    <m/>
    <m/>
  </r>
  <r>
    <n v="415"/>
    <n v="35"/>
    <x v="414"/>
    <s v="8952020220552713491"/>
    <s v="3032746"/>
    <x v="380"/>
    <s v="3032746"/>
    <s v="3032746"/>
    <x v="31"/>
    <x v="44"/>
    <x v="0"/>
    <x v="0"/>
    <x v="3"/>
    <m/>
    <n v="1"/>
    <m/>
    <m/>
    <m/>
  </r>
  <r>
    <n v="416"/>
    <n v="1"/>
    <x v="415"/>
    <s v="WeMobile"/>
    <n v="205475422"/>
    <x v="381"/>
    <s v="0520002357"/>
    <s v="868446039122034"/>
    <x v="7"/>
    <x v="51"/>
    <x v="9"/>
    <x v="7"/>
    <x v="4"/>
    <m/>
    <m/>
    <m/>
    <m/>
    <m/>
  </r>
  <r>
    <n v="417"/>
    <n v="2"/>
    <x v="416"/>
    <s v="WeMobile"/>
    <s v="0520002364"/>
    <x v="382"/>
    <s v="0520002364"/>
    <s v="868446039015546"/>
    <x v="7"/>
    <x v="51"/>
    <x v="9"/>
    <x v="7"/>
    <x v="4"/>
    <m/>
    <m/>
    <m/>
    <m/>
    <m/>
  </r>
  <r>
    <n v="418"/>
    <n v="3"/>
    <x v="417"/>
    <s v="WeMobile"/>
    <s v="0520003307"/>
    <x v="383"/>
    <s v="0520003307"/>
    <s v="862786047636884"/>
    <x v="7"/>
    <x v="51"/>
    <x v="9"/>
    <x v="7"/>
    <x v="4"/>
    <m/>
    <m/>
    <m/>
    <m/>
    <m/>
  </r>
  <r>
    <n v="419"/>
    <n v="4"/>
    <x v="418"/>
    <s v="WeMobile"/>
    <s v="Disponible"/>
    <x v="384"/>
    <m/>
    <m/>
    <x v="26"/>
    <x v="51"/>
    <x v="9"/>
    <x v="7"/>
    <x v="4"/>
    <m/>
    <m/>
    <m/>
    <m/>
    <m/>
  </r>
  <r>
    <n v="420"/>
    <n v="5"/>
    <x v="419"/>
    <s v="WeMobile"/>
    <s v=" 560000010"/>
    <x v="385"/>
    <s v=" 560000010"/>
    <s v=" 560000010"/>
    <x v="7"/>
    <x v="51"/>
    <x v="9"/>
    <x v="7"/>
    <x v="4"/>
    <m/>
    <m/>
    <m/>
    <m/>
    <m/>
  </r>
  <r>
    <n v="421"/>
    <n v="6"/>
    <x v="420"/>
    <s v="WeMobile"/>
    <s v="0470000091"/>
    <x v="386"/>
    <s v="0470000091"/>
    <m/>
    <x v="7"/>
    <x v="8"/>
    <x v="1"/>
    <x v="0"/>
    <x v="5"/>
    <m/>
    <n v="1"/>
    <m/>
    <m/>
    <m/>
  </r>
  <r>
    <n v="422"/>
    <n v="7"/>
    <x v="421"/>
    <s v="WeMobile"/>
    <s v="0470000092"/>
    <x v="387"/>
    <s v="0470000092"/>
    <m/>
    <x v="7"/>
    <x v="23"/>
    <x v="2"/>
    <x v="0"/>
    <x v="5"/>
    <m/>
    <n v="1"/>
    <m/>
    <m/>
    <m/>
  </r>
  <r>
    <n v="423"/>
    <n v="8"/>
    <x v="422"/>
    <s v="WeMobile"/>
    <s v="0470000093"/>
    <x v="388"/>
    <s v="0470000093"/>
    <m/>
    <x v="7"/>
    <x v="22"/>
    <x v="2"/>
    <x v="0"/>
    <x v="5"/>
    <m/>
    <n v="1"/>
    <m/>
    <m/>
    <m/>
  </r>
  <r>
    <n v="424"/>
    <n v="9"/>
    <x v="423"/>
    <s v="WeMobile"/>
    <s v="0470000094"/>
    <x v="389"/>
    <s v="0470000094"/>
    <s v="866425037306554"/>
    <x v="7"/>
    <x v="2"/>
    <x v="0"/>
    <x v="0"/>
    <x v="5"/>
    <m/>
    <n v="1"/>
    <m/>
    <m/>
    <m/>
  </r>
  <r>
    <n v="425"/>
    <n v="10"/>
    <x v="424"/>
    <s v="WeMobile"/>
    <s v="0470000196"/>
    <x v="390"/>
    <s v="0470000196"/>
    <m/>
    <x v="7"/>
    <x v="22"/>
    <x v="2"/>
    <x v="0"/>
    <x v="5"/>
    <m/>
    <n v="1"/>
    <m/>
    <m/>
    <m/>
  </r>
  <r>
    <n v="426"/>
    <n v="11"/>
    <x v="425"/>
    <s v="WeMobile"/>
    <s v="0470000199"/>
    <x v="391"/>
    <s v="0470000199"/>
    <m/>
    <x v="7"/>
    <x v="8"/>
    <x v="1"/>
    <x v="0"/>
    <x v="5"/>
    <m/>
    <n v="1"/>
    <m/>
    <m/>
    <m/>
  </r>
  <r>
    <n v="427"/>
    <n v="12"/>
    <x v="426"/>
    <s v="WeMobile"/>
    <s v="0470000248"/>
    <x v="392"/>
    <s v="0470000248"/>
    <m/>
    <x v="7"/>
    <x v="31"/>
    <x v="2"/>
    <x v="0"/>
    <x v="5"/>
    <m/>
    <n v="1"/>
    <m/>
    <m/>
    <m/>
  </r>
  <r>
    <n v="428"/>
    <n v="13"/>
    <x v="427"/>
    <s v="WeMobile"/>
    <s v="0470000249"/>
    <x v="393"/>
    <s v="0470000249"/>
    <m/>
    <x v="7"/>
    <x v="31"/>
    <x v="2"/>
    <x v="0"/>
    <x v="5"/>
    <m/>
    <n v="1"/>
    <m/>
    <m/>
    <m/>
  </r>
  <r>
    <n v="429"/>
    <n v="14"/>
    <x v="428"/>
    <s v="WeMobile"/>
    <s v="0470000250"/>
    <x v="394"/>
    <s v="0470000250"/>
    <d v="2019-09-13T00:00:00"/>
    <x v="7"/>
    <x v="51"/>
    <x v="9"/>
    <x v="7"/>
    <x v="4"/>
    <m/>
    <n v="1"/>
    <m/>
    <m/>
    <m/>
  </r>
  <r>
    <n v="430"/>
    <n v="15"/>
    <x v="429"/>
    <s v="WeMobile"/>
    <s v="0520000611"/>
    <x v="395"/>
    <s v="0520000611"/>
    <d v="2019-09-27T00:00:00"/>
    <x v="7"/>
    <x v="26"/>
    <x v="2"/>
    <x v="0"/>
    <x v="5"/>
    <m/>
    <n v="1"/>
    <m/>
    <m/>
    <m/>
  </r>
  <r>
    <n v="431"/>
    <n v="16"/>
    <x v="430"/>
    <s v="WeMobile"/>
    <s v="0520000613"/>
    <x v="396"/>
    <s v="0520000613"/>
    <d v="2019-09-27T00:00:00"/>
    <x v="7"/>
    <x v="26"/>
    <x v="2"/>
    <x v="0"/>
    <x v="5"/>
    <m/>
    <n v="1"/>
    <m/>
    <m/>
    <m/>
  </r>
  <r>
    <n v="432"/>
    <n v="17"/>
    <x v="431"/>
    <s v="WeMobile"/>
    <s v="0520000619"/>
    <x v="397"/>
    <s v="0520000619"/>
    <d v="2019-09-27T00:00:00"/>
    <x v="7"/>
    <x v="26"/>
    <x v="2"/>
    <x v="0"/>
    <x v="5"/>
    <m/>
    <n v="1"/>
    <m/>
    <m/>
    <m/>
  </r>
  <r>
    <n v="433"/>
    <n v="18"/>
    <x v="432"/>
    <s v="WeMobile"/>
    <s v="0520000622"/>
    <x v="398"/>
    <s v="0520000622"/>
    <d v="2019-09-27T00:00:00"/>
    <x v="7"/>
    <x v="26"/>
    <x v="2"/>
    <x v="0"/>
    <x v="5"/>
    <m/>
    <n v="1"/>
    <m/>
    <m/>
    <m/>
  </r>
  <r>
    <n v="434"/>
    <n v="19"/>
    <x v="433"/>
    <s v="WeMobile"/>
    <s v="353549090887489"/>
    <x v="399"/>
    <s v="353549090887489"/>
    <s v="353549090887480f"/>
    <x v="13"/>
    <x v="16"/>
    <x v="0"/>
    <x v="0"/>
    <x v="5"/>
    <m/>
    <n v="1"/>
    <m/>
    <m/>
    <m/>
  </r>
  <r>
    <n v="435"/>
    <n v="20"/>
    <x v="434"/>
    <s v="WeMobile"/>
    <s v="353549090886291"/>
    <x v="400"/>
    <s v="353549090886291"/>
    <s v="353549090886290f"/>
    <x v="13"/>
    <x v="16"/>
    <x v="0"/>
    <x v="0"/>
    <x v="5"/>
    <m/>
    <n v="1"/>
    <m/>
    <m/>
    <m/>
  </r>
  <r>
    <n v="436"/>
    <n v="21"/>
    <x v="435"/>
    <s v="WeMobile"/>
    <s v="0680015875"/>
    <x v="401"/>
    <s v="0680015875"/>
    <s v="868199054609798"/>
    <x v="12"/>
    <x v="31"/>
    <x v="2"/>
    <x v="0"/>
    <x v="5"/>
    <m/>
    <n v="1"/>
    <s v="STI"/>
    <m/>
    <m/>
  </r>
  <r>
    <n v="437"/>
    <n v="22"/>
    <x v="436"/>
    <s v="WeMobile"/>
    <s v="0470000341"/>
    <x v="402"/>
    <s v="0470000341"/>
    <s v="866425037368349"/>
    <x v="7"/>
    <x v="6"/>
    <x v="1"/>
    <x v="0"/>
    <x v="5"/>
    <m/>
    <n v="1"/>
    <m/>
    <m/>
    <m/>
  </r>
  <r>
    <n v="438"/>
    <n v="23"/>
    <x v="437"/>
    <s v="WeMobile"/>
    <s v="0520002358"/>
    <x v="403"/>
    <s v="0520002358"/>
    <s v="'868446039121831"/>
    <x v="7"/>
    <x v="6"/>
    <x v="1"/>
    <x v="0"/>
    <x v="5"/>
    <m/>
    <n v="1"/>
    <m/>
    <m/>
    <m/>
  </r>
  <r>
    <n v="439"/>
    <n v="24"/>
    <x v="438"/>
    <s v="WeMobile"/>
    <s v="0520002365"/>
    <x v="404"/>
    <s v="0520002365"/>
    <s v="868446039016130"/>
    <x v="7"/>
    <x v="23"/>
    <x v="2"/>
    <x v="0"/>
    <x v="5"/>
    <m/>
    <n v="1"/>
    <m/>
    <m/>
    <m/>
  </r>
  <r>
    <n v="440"/>
    <n v="25"/>
    <x v="439"/>
    <s v="WeMobile"/>
    <s v="0520002366"/>
    <x v="405"/>
    <s v="0520002366"/>
    <s v="868446038993438"/>
    <x v="7"/>
    <x v="23"/>
    <x v="2"/>
    <x v="0"/>
    <x v="5"/>
    <m/>
    <n v="1"/>
    <m/>
    <m/>
    <m/>
  </r>
  <r>
    <n v="441"/>
    <n v="26"/>
    <x v="440"/>
    <s v="WeMobile"/>
    <s v="0470000333"/>
    <x v="406"/>
    <s v="0470000333"/>
    <s v="866425037384502"/>
    <x v="7"/>
    <x v="23"/>
    <x v="2"/>
    <x v="0"/>
    <x v="5"/>
    <m/>
    <n v="1"/>
    <m/>
    <m/>
    <m/>
  </r>
  <r>
    <n v="442"/>
    <n v="27"/>
    <x v="441"/>
    <s v="WeMobile"/>
    <s v="0520003308"/>
    <x v="407"/>
    <s v="0520003308"/>
    <s v="862785047530293"/>
    <x v="7"/>
    <x v="6"/>
    <x v="1"/>
    <x v="0"/>
    <x v="5"/>
    <m/>
    <n v="1"/>
    <m/>
    <m/>
    <m/>
  </r>
  <r>
    <n v="443"/>
    <n v="28"/>
    <x v="442"/>
    <s v="WeMobile"/>
    <s v="862522030097636"/>
    <x v="408"/>
    <s v="862522030097636"/>
    <s v="862522030097636"/>
    <x v="33"/>
    <x v="51"/>
    <x v="9"/>
    <x v="7"/>
    <x v="4"/>
    <m/>
    <n v="1"/>
    <m/>
    <m/>
    <m/>
  </r>
  <r>
    <n v="444"/>
    <n v="29"/>
    <x v="443"/>
    <s v="WeMobile"/>
    <s v="0520003807"/>
    <x v="409"/>
    <s v="0520003807"/>
    <s v="862785047561266"/>
    <x v="7"/>
    <x v="10"/>
    <x v="2"/>
    <x v="0"/>
    <x v="5"/>
    <m/>
    <n v="1"/>
    <m/>
    <m/>
    <m/>
  </r>
  <r>
    <n v="445"/>
    <n v="30"/>
    <x v="444"/>
    <s v="WeMobile"/>
    <s v="0520003804"/>
    <x v="410"/>
    <s v="0520003804"/>
    <s v="862785047562510"/>
    <x v="7"/>
    <x v="10"/>
    <x v="2"/>
    <x v="0"/>
    <x v="5"/>
    <m/>
    <n v="1"/>
    <m/>
    <m/>
    <m/>
  </r>
  <r>
    <n v="446"/>
    <n v="31"/>
    <x v="445"/>
    <s v="WeMobile"/>
    <s v="0520003803"/>
    <x v="411"/>
    <s v="0520003803"/>
    <s v="862785047544361"/>
    <x v="7"/>
    <x v="17"/>
    <x v="0"/>
    <x v="0"/>
    <x v="5"/>
    <m/>
    <n v="1"/>
    <m/>
    <m/>
    <m/>
  </r>
  <r>
    <n v="447"/>
    <n v="32"/>
    <x v="446"/>
    <s v="WeMobile"/>
    <s v="0520003806"/>
    <x v="412"/>
    <s v="0520003806"/>
    <s v="862785047576783"/>
    <x v="7"/>
    <x v="7"/>
    <x v="1"/>
    <x v="0"/>
    <x v="5"/>
    <m/>
    <n v="1"/>
    <m/>
    <m/>
    <m/>
  </r>
  <r>
    <n v="448"/>
    <n v="33"/>
    <x v="447"/>
    <s v="WeMobile"/>
    <s v="0520003805"/>
    <x v="413"/>
    <s v="0520003805"/>
    <s v="862785047676197"/>
    <x v="7"/>
    <x v="6"/>
    <x v="1"/>
    <x v="0"/>
    <x v="5"/>
    <m/>
    <n v="1"/>
    <m/>
    <m/>
    <m/>
  </r>
  <r>
    <n v="449"/>
    <n v="34"/>
    <x v="448"/>
    <s v="WeMobile"/>
    <s v="0680001746"/>
    <x v="414"/>
    <s v="0680001746"/>
    <s v="0680001746"/>
    <x v="12"/>
    <x v="13"/>
    <x v="2"/>
    <x v="0"/>
    <x v="5"/>
    <m/>
    <n v="1"/>
    <m/>
    <m/>
    <m/>
  </r>
  <r>
    <n v="450"/>
    <n v="35"/>
    <x v="449"/>
    <s v="WeMobile"/>
    <s v="0680001744"/>
    <x v="415"/>
    <s v="0680001744"/>
    <s v="0680001744"/>
    <x v="12"/>
    <x v="47"/>
    <x v="0"/>
    <x v="0"/>
    <x v="5"/>
    <m/>
    <n v="1"/>
    <m/>
    <m/>
    <m/>
  </r>
  <r>
    <n v="451"/>
    <n v="36"/>
    <x v="450"/>
    <s v="WeMobile"/>
    <s v="0680001743"/>
    <x v="416"/>
    <s v="0680001743"/>
    <s v="0680001743"/>
    <x v="12"/>
    <x v="47"/>
    <x v="0"/>
    <x v="0"/>
    <x v="5"/>
    <m/>
    <n v="1"/>
    <m/>
    <m/>
    <m/>
  </r>
  <r>
    <n v="452"/>
    <n v="37"/>
    <x v="451"/>
    <s v="WeMobile"/>
    <s v="0680001745"/>
    <x v="417"/>
    <s v="0680001745"/>
    <s v="0680001745"/>
    <x v="12"/>
    <x v="47"/>
    <x v="0"/>
    <x v="0"/>
    <x v="5"/>
    <m/>
    <n v="1"/>
    <m/>
    <m/>
    <m/>
  </r>
  <r>
    <n v="453"/>
    <n v="38"/>
    <x v="452"/>
    <s v="WeMobile"/>
    <s v="4631345013"/>
    <x v="418"/>
    <s v="4631345013"/>
    <n v="4631345013"/>
    <x v="34"/>
    <x v="37"/>
    <x v="0"/>
    <x v="0"/>
    <x v="5"/>
    <m/>
    <n v="1"/>
    <m/>
    <m/>
    <m/>
  </r>
  <r>
    <n v="454"/>
    <n v="39"/>
    <x v="453"/>
    <s v="WeMobile"/>
    <s v="0680002560"/>
    <x v="419"/>
    <s v="0680002560"/>
    <s v="865284040656922"/>
    <x v="12"/>
    <x v="13"/>
    <x v="2"/>
    <x v="0"/>
    <x v="5"/>
    <m/>
    <n v="1"/>
    <m/>
    <m/>
    <m/>
  </r>
  <r>
    <n v="455"/>
    <n v="40"/>
    <x v="454"/>
    <s v="WeMobile"/>
    <s v="0680015479"/>
    <x v="420"/>
    <s v="0680015479"/>
    <s v="868199054610077"/>
    <x v="12"/>
    <x v="7"/>
    <x v="1"/>
    <x v="0"/>
    <x v="5"/>
    <m/>
    <n v="1"/>
    <m/>
    <m/>
    <m/>
  </r>
  <r>
    <n v="456"/>
    <n v="41"/>
    <x v="455"/>
    <s v="WeMobile"/>
    <s v="869530045130008"/>
    <x v="421"/>
    <s v="869530045130008"/>
    <s v="869530045130008"/>
    <x v="2"/>
    <x v="31"/>
    <x v="2"/>
    <x v="0"/>
    <x v="5"/>
    <m/>
    <n v="1"/>
    <m/>
    <m/>
    <m/>
  </r>
  <r>
    <n v="457"/>
    <n v="42"/>
    <x v="456"/>
    <s v="WeMobile"/>
    <s v="0680012395"/>
    <x v="422"/>
    <s v="0680012395"/>
    <s v="868923058901756"/>
    <x v="12"/>
    <x v="18"/>
    <x v="0"/>
    <x v="0"/>
    <x v="5"/>
    <m/>
    <n v="1"/>
    <m/>
    <m/>
    <m/>
  </r>
  <r>
    <n v="458"/>
    <n v="43"/>
    <x v="457"/>
    <s v="WeMobile"/>
    <s v="0680002559"/>
    <x v="423"/>
    <s v="0680002559"/>
    <s v="865284040650396"/>
    <x v="12"/>
    <x v="13"/>
    <x v="2"/>
    <x v="0"/>
    <x v="5"/>
    <m/>
    <n v="1"/>
    <m/>
    <m/>
    <m/>
  </r>
  <r>
    <n v="459"/>
    <n v="1"/>
    <x v="458"/>
    <s v="8937201016205372626"/>
    <s v="0680021388"/>
    <x v="424"/>
    <s v="0680021388"/>
    <s v="864919055272237"/>
    <x v="12"/>
    <x v="74"/>
    <x v="0"/>
    <x v="0"/>
    <x v="6"/>
    <m/>
    <m/>
    <m/>
    <m/>
    <m/>
  </r>
  <r>
    <n v="460"/>
    <n v="1"/>
    <x v="459"/>
    <n v="3313255752"/>
    <s v="352503090125888"/>
    <x v="425"/>
    <s v="352503090125888"/>
    <s v="352503090125888"/>
    <x v="35"/>
    <x v="19"/>
    <x v="0"/>
    <x v="0"/>
    <x v="7"/>
    <d v="2021-12-13T00:00:00"/>
    <n v="1"/>
    <n v="50"/>
    <m/>
    <m/>
  </r>
  <r>
    <n v="461"/>
    <n v="2"/>
    <x v="460"/>
    <s v="8952020220551194388"/>
    <s v="359857083781971"/>
    <x v="426"/>
    <s v="359857083781971"/>
    <s v="359857083781971"/>
    <x v="36"/>
    <x v="75"/>
    <x v="10"/>
    <x v="1"/>
    <x v="7"/>
    <n v="0"/>
    <n v="2"/>
    <m/>
    <m/>
    <m/>
  </r>
  <r>
    <n v="462"/>
    <n v="3"/>
    <x v="461"/>
    <s v="8952020220551194297"/>
    <s v="359857083781518"/>
    <x v="427"/>
    <s v="359857083781518"/>
    <s v="359857083781518"/>
    <x v="36"/>
    <x v="75"/>
    <x v="10"/>
    <x v="1"/>
    <x v="7"/>
    <n v="0"/>
    <n v="2"/>
    <m/>
    <m/>
    <m/>
  </r>
  <r>
    <n v="463"/>
    <n v="4"/>
    <x v="462"/>
    <s v="8952020220551194404"/>
    <s v="359857083781658"/>
    <x v="428"/>
    <s v="359857083781658"/>
    <s v="359857083781658"/>
    <x v="36"/>
    <x v="75"/>
    <x v="10"/>
    <x v="1"/>
    <x v="7"/>
    <n v="0"/>
    <n v="2"/>
    <m/>
    <m/>
    <m/>
  </r>
  <r>
    <n v="464"/>
    <n v="5"/>
    <x v="463"/>
    <s v="8952020220551194313"/>
    <s v="359857083774315"/>
    <x v="429"/>
    <s v="359857083774315"/>
    <s v="359857083774315"/>
    <x v="36"/>
    <x v="75"/>
    <x v="10"/>
    <x v="1"/>
    <x v="7"/>
    <n v="0"/>
    <n v="2"/>
    <m/>
    <m/>
    <m/>
  </r>
  <r>
    <n v="465"/>
    <n v="6"/>
    <x v="464"/>
    <s v="8952020220551194321"/>
    <s v="359857083782052"/>
    <x v="430"/>
    <s v="359857083782052"/>
    <s v="359857083782052"/>
    <x v="36"/>
    <x v="75"/>
    <x v="10"/>
    <x v="1"/>
    <x v="7"/>
    <n v="0"/>
    <n v="2"/>
    <m/>
    <m/>
    <m/>
  </r>
  <r>
    <n v="466"/>
    <n v="7"/>
    <x v="465"/>
    <s v="8952020920556884954"/>
    <s v="353701092031091"/>
    <x v="431"/>
    <s v="353701092031091"/>
    <s v="353701092031091"/>
    <x v="37"/>
    <x v="42"/>
    <x v="0"/>
    <x v="0"/>
    <x v="7"/>
    <d v="2021-12-13T00:00:00"/>
    <n v="1"/>
    <n v="50"/>
    <m/>
    <m/>
  </r>
  <r>
    <n v="467"/>
    <n v="8"/>
    <x v="466"/>
    <n v="3338225936"/>
    <s v="351608083503131"/>
    <x v="432"/>
    <s v="351608083503131"/>
    <s v="351608083503131"/>
    <x v="37"/>
    <x v="19"/>
    <x v="0"/>
    <x v="0"/>
    <x v="7"/>
    <d v="2021-12-13T00:00:00"/>
    <n v="1"/>
    <n v="50"/>
    <m/>
    <m/>
  </r>
  <r>
    <n v="468"/>
    <n v="9"/>
    <x v="467"/>
    <n v="5578339131"/>
    <s v="867553053320354"/>
    <x v="433"/>
    <s v="867553053320354"/>
    <s v="867553053320354"/>
    <x v="2"/>
    <x v="27"/>
    <x v="0"/>
    <x v="0"/>
    <x v="7"/>
    <d v="2021-10-18T00:00:00"/>
    <n v="1"/>
    <n v="50"/>
    <m/>
    <m/>
  </r>
  <r>
    <n v="469"/>
    <n v="10"/>
    <x v="468"/>
    <s v="8952020920652090662"/>
    <s v="0099004B34"/>
    <x v="434"/>
    <s v="0099004B34"/>
    <m/>
    <x v="38"/>
    <x v="23"/>
    <x v="2"/>
    <x v="0"/>
    <x v="7"/>
    <n v="0"/>
    <m/>
    <m/>
    <m/>
    <m/>
  </r>
  <r>
    <n v="470"/>
    <n v="11"/>
    <x v="469"/>
    <s v="8952020919694323750"/>
    <s v="0099005D82"/>
    <x v="435"/>
    <s v="0099005D82"/>
    <m/>
    <x v="38"/>
    <x v="22"/>
    <x v="2"/>
    <x v="0"/>
    <x v="7"/>
    <n v="0"/>
    <m/>
    <m/>
    <m/>
    <m/>
  </r>
  <r>
    <n v="471"/>
    <n v="12"/>
    <x v="470"/>
    <s v="895202092042120828"/>
    <s v="0370006699"/>
    <x v="436"/>
    <s v="0370006699"/>
    <s v="0370006699"/>
    <x v="39"/>
    <x v="76"/>
    <x v="0"/>
    <x v="0"/>
    <x v="7"/>
    <d v="2021-10-18T00:00:00"/>
    <m/>
    <n v="50"/>
    <m/>
    <m/>
  </r>
  <r>
    <n v="472"/>
    <n v="13"/>
    <x v="471"/>
    <s v="8952020020550579914"/>
    <s v="009900576D"/>
    <x v="437"/>
    <s v="009900576D"/>
    <m/>
    <x v="38"/>
    <x v="22"/>
    <x v="2"/>
    <x v="0"/>
    <x v="7"/>
    <n v="0"/>
    <m/>
    <m/>
    <m/>
    <m/>
  </r>
  <r>
    <n v="473"/>
    <n v="14"/>
    <x v="472"/>
    <m/>
    <s v="359857084848456"/>
    <x v="438"/>
    <s v="359857084848456"/>
    <s v="359857084848456"/>
    <x v="36"/>
    <x v="49"/>
    <x v="0"/>
    <x v="0"/>
    <x v="7"/>
    <m/>
    <n v="2"/>
    <n v="50"/>
    <m/>
    <m/>
  </r>
  <r>
    <n v="474"/>
    <m/>
    <x v="473"/>
    <m/>
    <s v="862193026464602"/>
    <x v="439"/>
    <s v="862193026464602"/>
    <m/>
    <x v="3"/>
    <x v="14"/>
    <x v="0"/>
    <x v="0"/>
    <x v="7"/>
    <m/>
    <n v="1"/>
    <m/>
    <m/>
    <m/>
  </r>
  <r>
    <n v="475"/>
    <n v="1"/>
    <x v="474"/>
    <n v="3781166710"/>
    <s v="864802030412567"/>
    <x v="440"/>
    <s v="864802030412567"/>
    <s v="864802030412567"/>
    <x v="3"/>
    <x v="23"/>
    <x v="2"/>
    <x v="0"/>
    <x v="8"/>
    <m/>
    <n v="1"/>
    <m/>
    <m/>
    <m/>
  </r>
  <r>
    <n v="476"/>
    <m/>
    <x v="475"/>
    <s v="Telcel"/>
    <s v="860796050450024"/>
    <x v="441"/>
    <s v="860796050450024"/>
    <s v="860796050450024"/>
    <x v="21"/>
    <x v="77"/>
    <x v="11"/>
    <x v="3"/>
    <x v="9"/>
    <d v="2022-10-08T00:00:00"/>
    <m/>
    <m/>
    <m/>
    <m/>
  </r>
  <r>
    <n v="477"/>
    <m/>
    <x v="475"/>
    <s v="Telcel"/>
    <s v="860796050175274"/>
    <x v="442"/>
    <s v="860796050175274"/>
    <s v="860796050175274"/>
    <x v="21"/>
    <x v="77"/>
    <x v="11"/>
    <x v="3"/>
    <x v="9"/>
    <d v="2022-04-07T00:00:00"/>
    <m/>
    <m/>
    <m/>
    <m/>
  </r>
  <r>
    <n v="478"/>
    <m/>
    <x v="475"/>
    <s v="Telcel"/>
    <s v="359857081369373"/>
    <x v="443"/>
    <s v="359857081369373"/>
    <s v="359857081369373"/>
    <x v="20"/>
    <x v="78"/>
    <x v="12"/>
    <x v="3"/>
    <x v="9"/>
    <d v="2022-07-05T00:00:00"/>
    <m/>
    <m/>
    <m/>
    <m/>
  </r>
  <r>
    <n v="479"/>
    <m/>
    <x v="475"/>
    <s v="Telcel"/>
    <s v="351777090852821"/>
    <x v="444"/>
    <s v="351777090852821"/>
    <s v="351777090852821"/>
    <x v="40"/>
    <x v="78"/>
    <x v="12"/>
    <x v="3"/>
    <x v="9"/>
    <d v="2022-04-06T00:00:00"/>
    <m/>
    <m/>
    <m/>
    <m/>
  </r>
  <r>
    <n v="480"/>
    <m/>
    <x v="475"/>
    <s v="Telcel"/>
    <s v="351777090851617"/>
    <x v="445"/>
    <s v="351777090851617"/>
    <s v="351777090851617"/>
    <x v="40"/>
    <x v="78"/>
    <x v="12"/>
    <x v="3"/>
    <x v="9"/>
    <d v="2022-11-24T00:00:00"/>
    <m/>
    <m/>
    <m/>
    <m/>
  </r>
  <r>
    <n v="481"/>
    <m/>
    <x v="475"/>
    <s v="Telcel"/>
    <s v="351777090850783"/>
    <x v="446"/>
    <s v="351777090850783"/>
    <s v="351777090850783"/>
    <x v="40"/>
    <x v="78"/>
    <x v="12"/>
    <x v="3"/>
    <x v="9"/>
    <d v="2022-09-03T00:00:00"/>
    <m/>
    <m/>
    <m/>
    <m/>
  </r>
  <r>
    <n v="482"/>
    <m/>
    <x v="475"/>
    <s v="Telcel"/>
    <s v="351777090853811"/>
    <x v="447"/>
    <s v="351777090853811"/>
    <s v="351777090853811"/>
    <x v="40"/>
    <x v="78"/>
    <x v="12"/>
    <x v="3"/>
    <x v="9"/>
    <d v="2022-07-05T00:00:00"/>
    <m/>
    <m/>
    <m/>
    <m/>
  </r>
  <r>
    <n v="483"/>
    <m/>
    <x v="475"/>
    <s v="Telcel"/>
    <s v="353701090888039"/>
    <x v="448"/>
    <s v="353701090888039"/>
    <s v="353701090888039"/>
    <x v="37"/>
    <x v="78"/>
    <x v="12"/>
    <x v="3"/>
    <x v="9"/>
    <d v="2022-06-02T00:00:00"/>
    <m/>
    <m/>
    <m/>
    <m/>
  </r>
  <r>
    <n v="484"/>
    <m/>
    <x v="475"/>
    <s v="Telcel"/>
    <s v="353701090902723"/>
    <x v="449"/>
    <s v="353701090902723"/>
    <s v="353701090902723"/>
    <x v="37"/>
    <x v="78"/>
    <x v="12"/>
    <x v="3"/>
    <x v="9"/>
    <d v="2022-06-02T00:00:00"/>
    <m/>
    <m/>
    <m/>
    <m/>
  </r>
  <r>
    <n v="485"/>
    <m/>
    <x v="475"/>
    <s v="Telcel"/>
    <s v="353701090890860"/>
    <x v="450"/>
    <s v="353701090890860"/>
    <s v="353701090890860"/>
    <x v="37"/>
    <x v="78"/>
    <x v="12"/>
    <x v="3"/>
    <x v="9"/>
    <d v="2022-06-02T00:00:00"/>
    <m/>
    <m/>
    <m/>
    <m/>
  </r>
  <r>
    <n v="486"/>
    <m/>
    <x v="475"/>
    <s v="Telcel"/>
    <s v="353701099165017"/>
    <x v="451"/>
    <s v="353701099165017"/>
    <s v="353701099165017"/>
    <x v="37"/>
    <x v="79"/>
    <x v="13"/>
    <x v="3"/>
    <x v="9"/>
    <d v="2022-12-08T00:00:00"/>
    <m/>
    <m/>
    <m/>
    <m/>
  </r>
  <r>
    <n v="487"/>
    <m/>
    <x v="475"/>
    <s v="Telcel"/>
    <s v="865784051138504"/>
    <x v="452"/>
    <s v="865784051138504"/>
    <s v="865784051138504"/>
    <x v="41"/>
    <x v="80"/>
    <x v="14"/>
    <x v="3"/>
    <x v="9"/>
    <d v="2022-12-30T00:00:00"/>
    <m/>
    <m/>
    <m/>
    <m/>
  </r>
  <r>
    <n v="488"/>
    <m/>
    <x v="475"/>
    <s v="Telcel"/>
    <s v="353701097326579"/>
    <x v="453"/>
    <s v="353701097326579"/>
    <s v="353701097326579"/>
    <x v="37"/>
    <x v="81"/>
    <x v="15"/>
    <x v="3"/>
    <x v="9"/>
    <d v="2022-04-08T00:00:00"/>
    <m/>
    <m/>
    <m/>
    <m/>
  </r>
  <r>
    <n v="489"/>
    <m/>
    <x v="475"/>
    <s v="Telcel"/>
    <s v="353701097638965"/>
    <x v="454"/>
    <s v="353701097638965"/>
    <s v="353701097638965"/>
    <x v="37"/>
    <x v="81"/>
    <x v="15"/>
    <x v="3"/>
    <x v="9"/>
    <d v="2022-04-08T00:00:00"/>
    <m/>
    <m/>
    <m/>
    <m/>
  </r>
  <r>
    <n v="490"/>
    <m/>
    <x v="475"/>
    <s v="Telcel"/>
    <s v="359857084033174"/>
    <x v="455"/>
    <s v="359857084033174"/>
    <s v="359857084033174"/>
    <x v="20"/>
    <x v="82"/>
    <x v="16"/>
    <x v="3"/>
    <x v="9"/>
    <d v="2023-01-20T00:00:00"/>
    <m/>
    <m/>
    <m/>
    <m/>
  </r>
  <r>
    <n v="491"/>
    <m/>
    <x v="475"/>
    <s v="Telcel"/>
    <s v="358899059396963"/>
    <x v="456"/>
    <s v="358899059396963"/>
    <s v="358899059396963"/>
    <x v="37"/>
    <x v="82"/>
    <x v="16"/>
    <x v="3"/>
    <x v="9"/>
    <d v="2023-02-01T00:00:00"/>
    <m/>
    <m/>
    <m/>
    <m/>
  </r>
  <r>
    <n v="492"/>
    <m/>
    <x v="475"/>
    <s v="Telcel"/>
    <s v="358899059402878"/>
    <x v="457"/>
    <s v="358899059402878"/>
    <s v="358899059402878"/>
    <x v="37"/>
    <x v="82"/>
    <x v="16"/>
    <x v="3"/>
    <x v="9"/>
    <d v="2023-02-01T00:00:00"/>
    <m/>
    <m/>
    <m/>
    <m/>
  </r>
  <r>
    <n v="493"/>
    <m/>
    <x v="475"/>
    <s v="Telcel"/>
    <s v="358899059396708"/>
    <x v="458"/>
    <s v="358899059396708"/>
    <s v="358899059396708"/>
    <x v="37"/>
    <x v="82"/>
    <x v="16"/>
    <x v="3"/>
    <x v="9"/>
    <d v="2023-01-20T00:00:00"/>
    <m/>
    <m/>
    <m/>
    <m/>
  </r>
  <r>
    <n v="494"/>
    <m/>
    <x v="475"/>
    <s v="Telcel"/>
    <s v="357660096216809"/>
    <x v="327"/>
    <s v="357660096216809"/>
    <s v="357660096216809"/>
    <x v="42"/>
    <x v="60"/>
    <x v="6"/>
    <x v="3"/>
    <x v="9"/>
    <d v="2022-10-27T00:00:0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6D849-89FE-4534-A708-9992291C937C}" name="Tabla 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2:B11" firstHeaderRow="1" firstDataRow="1" firstDataCol="1"/>
  <pivotFields count="18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7"/>
        <item x="6"/>
        <item x="5"/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uenta de Nombre" fld="5" subtotal="count" baseField="0" baseItem="0"/>
  </dataFields>
  <chartFormats count="9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85A23-C3F4-41D8-9FC5-1CDCF33E6D6D}" name="Tabla 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2:B13" firstHeaderRow="1" firstDataRow="1" firstDataCol="1"/>
  <pivotFields count="18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5"/>
        <item x="6"/>
        <item x="7"/>
        <item x="4"/>
        <item x="8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Nombre" fld="5" subtotal="count" baseField="0" baseItem="0"/>
  </dataFields>
  <chartFormats count="1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89E57-1382-4F4F-9B7C-BCFF6A41DD43}" name="Tabla 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2:B46" firstHeaderRow="1" firstDataRow="1" firstDataCol="1"/>
  <pivotFields count="18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4">
        <item x="8"/>
        <item x="31"/>
        <item x="13"/>
        <item x="21"/>
        <item x="20"/>
        <item x="37"/>
        <item x="42"/>
        <item x="40"/>
        <item x="35"/>
        <item x="41"/>
        <item x="36"/>
        <item x="27"/>
        <item x="28"/>
        <item x="32"/>
        <item x="34"/>
        <item x="5"/>
        <item x="30"/>
        <item x="0"/>
        <item x="19"/>
        <item x="3"/>
        <item x="10"/>
        <item x="11"/>
        <item x="4"/>
        <item x="2"/>
        <item x="22"/>
        <item x="18"/>
        <item x="23"/>
        <item x="16"/>
        <item x="38"/>
        <item x="9"/>
        <item x="1"/>
        <item x="24"/>
        <item x="39"/>
        <item x="7"/>
        <item x="12"/>
        <item x="25"/>
        <item x="14"/>
        <item x="15"/>
        <item x="6"/>
        <item x="29"/>
        <item x="17"/>
        <item x="33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Cuenta de Nombre" fld="5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D43B0-84F4-4192-9C2E-7FFD28DE046F}" name="Tabla 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2:B86" firstHeaderRow="1" firstDataRow="1" firstDataCol="1"/>
  <pivotFields count="18">
    <pivotField showAll="0"/>
    <pivotField showAll="0"/>
    <pivotField showAll="0"/>
    <pivotField showAll="0"/>
    <pivotField showAll="0"/>
    <pivotField dataField="1" showAll="0">
      <items count="460">
        <item x="443"/>
        <item x="7"/>
        <item x="132"/>
        <item x="396"/>
        <item x="395"/>
        <item x="397"/>
        <item x="345"/>
        <item x="99"/>
        <item x="189"/>
        <item x="204"/>
        <item x="242"/>
        <item x="244"/>
        <item x="238"/>
        <item x="239"/>
        <item x="167"/>
        <item x="209"/>
        <item x="212"/>
        <item x="69"/>
        <item x="115"/>
        <item x="80"/>
        <item x="197"/>
        <item x="78"/>
        <item x="79"/>
        <item x="118"/>
        <item x="95"/>
        <item x="14"/>
        <item x="419"/>
        <item x="15"/>
        <item x="16"/>
        <item x="414"/>
        <item x="122"/>
        <item x="18"/>
        <item x="124"/>
        <item x="423"/>
        <item x="123"/>
        <item x="267"/>
        <item x="198"/>
        <item x="19"/>
        <item x="409"/>
        <item x="410"/>
        <item x="211"/>
        <item x="210"/>
        <item x="213"/>
        <item x="180"/>
        <item x="49"/>
        <item x="21"/>
        <item x="192"/>
        <item x="193"/>
        <item x="23"/>
        <item x="305"/>
        <item x="224"/>
        <item x="149"/>
        <item x="168"/>
        <item x="172"/>
        <item x="136"/>
        <item x="368"/>
        <item x="221"/>
        <item x="220"/>
        <item x="170"/>
        <item x="216"/>
        <item x="225"/>
        <item x="219"/>
        <item x="236"/>
        <item x="215"/>
        <item x="199"/>
        <item x="371"/>
        <item x="217"/>
        <item x="222"/>
        <item x="200"/>
        <item x="65"/>
        <item x="306"/>
        <item x="73"/>
        <item x="148"/>
        <item x="398"/>
        <item x="406"/>
        <item x="223"/>
        <item x="313"/>
        <item x="218"/>
        <item x="404"/>
        <item x="405"/>
        <item x="186"/>
        <item x="58"/>
        <item x="307"/>
        <item x="59"/>
        <item x="179"/>
        <item x="205"/>
        <item x="390"/>
        <item x="60"/>
        <item x="388"/>
        <item x="206"/>
        <item x="87"/>
        <item x="89"/>
        <item x="379"/>
        <item x="90"/>
        <item x="374"/>
        <item x="55"/>
        <item x="91"/>
        <item x="207"/>
        <item x="240"/>
        <item x="93"/>
        <item x="54"/>
        <item x="56"/>
        <item x="394"/>
        <item x="94"/>
        <item x="393"/>
        <item x="202"/>
        <item x="421"/>
        <item x="143"/>
        <item x="392"/>
        <item x="173"/>
        <item x="360"/>
        <item x="378"/>
        <item x="134"/>
        <item x="137"/>
        <item x="144"/>
        <item x="178"/>
        <item x="201"/>
        <item x="318"/>
        <item x="135"/>
        <item x="138"/>
        <item x="147"/>
        <item x="169"/>
        <item x="401"/>
        <item x="235"/>
        <item x="354"/>
        <item x="175"/>
        <item x="174"/>
        <item x="316"/>
        <item x="177"/>
        <item x="282"/>
        <item x="53"/>
        <item x="142"/>
        <item x="171"/>
        <item x="446"/>
        <item x="448"/>
        <item x="444"/>
        <item x="449"/>
        <item x="447"/>
        <item x="450"/>
        <item x="445"/>
        <item x="1"/>
        <item x="233"/>
        <item x="234"/>
        <item x="2"/>
        <item x="6"/>
        <item x="141"/>
        <item x="302"/>
        <item x="290"/>
        <item x="288"/>
        <item x="279"/>
        <item x="281"/>
        <item x="295"/>
        <item x="303"/>
        <item x="315"/>
        <item x="286"/>
        <item x="285"/>
        <item x="326"/>
        <item x="327"/>
        <item x="314"/>
        <item x="442"/>
        <item x="441"/>
        <item x="308"/>
        <item x="309"/>
        <item x="310"/>
        <item x="237"/>
        <item x="426"/>
        <item x="428"/>
        <item x="430"/>
        <item x="427"/>
        <item x="429"/>
        <item x="291"/>
        <item x="101"/>
        <item x="304"/>
        <item x="328"/>
        <item x="456"/>
        <item x="246"/>
        <item x="245"/>
        <item x="402"/>
        <item x="241"/>
        <item x="32"/>
        <item x="130"/>
        <item x="407"/>
        <item x="413"/>
        <item x="277"/>
        <item x="25"/>
        <item x="357"/>
        <item x="46"/>
        <item x="129"/>
        <item x="372"/>
        <item x="85"/>
        <item x="26"/>
        <item x="75"/>
        <item x="408"/>
        <item x="418"/>
        <item x="284"/>
        <item x="287"/>
        <item x="387"/>
        <item x="102"/>
        <item x="283"/>
        <item x="333"/>
        <item x="432"/>
        <item x="153"/>
        <item x="103"/>
        <item x="403"/>
        <item x="455"/>
        <item x="33"/>
        <item x="161"/>
        <item x="108"/>
        <item x="61"/>
        <item x="232"/>
        <item x="381"/>
        <item x="440"/>
        <item x="416"/>
        <item x="196"/>
        <item x="63"/>
        <item x="384"/>
        <item x="343"/>
        <item x="191"/>
        <item x="325"/>
        <item x="145"/>
        <item x="151"/>
        <item x="243"/>
        <item x="353"/>
        <item x="162"/>
        <item x="188"/>
        <item x="88"/>
        <item x="163"/>
        <item x="166"/>
        <item x="164"/>
        <item x="165"/>
        <item x="92"/>
        <item x="187"/>
        <item x="458"/>
        <item x="424"/>
        <item x="76"/>
        <item x="117"/>
        <item x="0"/>
        <item x="346"/>
        <item x="77"/>
        <item x="184"/>
        <item x="183"/>
        <item x="185"/>
        <item x="203"/>
        <item x="146"/>
        <item x="157"/>
        <item x="324"/>
        <item x="86"/>
        <item x="195"/>
        <item x="194"/>
        <item x="9"/>
        <item x="10"/>
        <item x="28"/>
        <item x="11"/>
        <item x="29"/>
        <item x="377"/>
        <item x="13"/>
        <item x="30"/>
        <item x="64"/>
        <item x="81"/>
        <item x="140"/>
        <item x="420"/>
        <item x="247"/>
        <item x="119"/>
        <item x="412"/>
        <item x="269"/>
        <item x="349"/>
        <item x="96"/>
        <item x="47"/>
        <item x="389"/>
        <item x="331"/>
        <item x="332"/>
        <item x="451"/>
        <item x="248"/>
        <item x="299"/>
        <item x="48"/>
        <item x="298"/>
        <item x="296"/>
        <item x="301"/>
        <item x="438"/>
        <item x="294"/>
        <item x="34"/>
        <item x="97"/>
        <item x="335"/>
        <item x="120"/>
        <item x="382"/>
        <item x="383"/>
        <item x="266"/>
        <item x="265"/>
        <item x="311"/>
        <item x="317"/>
        <item x="139"/>
        <item x="121"/>
        <item x="319"/>
        <item x="35"/>
        <item x="5"/>
        <item x="276"/>
        <item x="275"/>
        <item x="274"/>
        <item x="340"/>
        <item x="66"/>
        <item x="365"/>
        <item x="415"/>
        <item x="82"/>
        <item x="83"/>
        <item x="257"/>
        <item x="263"/>
        <item x="262"/>
        <item x="264"/>
        <item x="259"/>
        <item x="254"/>
        <item x="255"/>
        <item x="260"/>
        <item x="261"/>
        <item x="258"/>
        <item x="256"/>
        <item x="347"/>
        <item x="67"/>
        <item x="68"/>
        <item x="375"/>
        <item x="17"/>
        <item x="376"/>
        <item x="4"/>
        <item x="289"/>
        <item x="431"/>
        <item x="160"/>
        <item x="386"/>
        <item x="380"/>
        <item x="84"/>
        <item x="158"/>
        <item x="362"/>
        <item x="52"/>
        <item x="363"/>
        <item x="369"/>
        <item x="3"/>
        <item x="366"/>
        <item x="45"/>
        <item x="350"/>
        <item x="370"/>
        <item x="351"/>
        <item x="364"/>
        <item x="417"/>
        <item x="250"/>
        <item x="62"/>
        <item x="251"/>
        <item x="228"/>
        <item x="249"/>
        <item x="154"/>
        <item x="155"/>
        <item x="293"/>
        <item x="292"/>
        <item x="57"/>
        <item x="159"/>
        <item x="385"/>
        <item x="435"/>
        <item x="434"/>
        <item x="437"/>
        <item x="268"/>
        <item x="8"/>
        <item x="361"/>
        <item x="150"/>
        <item x="116"/>
        <item x="12"/>
        <item x="367"/>
        <item x="352"/>
        <item x="391"/>
        <item x="348"/>
        <item x="36"/>
        <item x="37"/>
        <item x="70"/>
        <item x="71"/>
        <item x="433"/>
        <item x="156"/>
        <item x="336"/>
        <item x="334"/>
        <item x="355"/>
        <item x="20"/>
        <item x="230"/>
        <item x="51"/>
        <item x="457"/>
        <item x="98"/>
        <item x="125"/>
        <item x="104"/>
        <item x="280"/>
        <item x="182"/>
        <item x="105"/>
        <item x="38"/>
        <item x="330"/>
        <item x="337"/>
        <item x="208"/>
        <item x="400"/>
        <item x="399"/>
        <item x="358"/>
        <item x="436"/>
        <item x="72"/>
        <item x="126"/>
        <item x="127"/>
        <item x="422"/>
        <item x="252"/>
        <item x="22"/>
        <item x="453"/>
        <item x="312"/>
        <item x="373"/>
        <item x="74"/>
        <item x="359"/>
        <item x="341"/>
        <item x="128"/>
        <item x="107"/>
        <item x="439"/>
        <item x="24"/>
        <item x="273"/>
        <item x="100"/>
        <item x="226"/>
        <item x="411"/>
        <item x="181"/>
        <item x="278"/>
        <item x="190"/>
        <item x="271"/>
        <item x="272"/>
        <item x="39"/>
        <item x="109"/>
        <item x="356"/>
        <item x="40"/>
        <item x="297"/>
        <item x="342"/>
        <item x="176"/>
        <item x="50"/>
        <item x="27"/>
        <item x="329"/>
        <item x="320"/>
        <item x="323"/>
        <item x="322"/>
        <item x="321"/>
        <item x="339"/>
        <item x="338"/>
        <item x="31"/>
        <item x="41"/>
        <item x="110"/>
        <item x="111"/>
        <item x="112"/>
        <item x="113"/>
        <item x="114"/>
        <item x="131"/>
        <item x="270"/>
        <item x="152"/>
        <item x="214"/>
        <item x="133"/>
        <item x="300"/>
        <item x="227"/>
        <item x="229"/>
        <item x="106"/>
        <item x="253"/>
        <item x="454"/>
        <item x="452"/>
        <item x="42"/>
        <item x="43"/>
        <item x="44"/>
        <item x="425"/>
        <item x="231"/>
        <item x="344"/>
        <item t="default"/>
      </items>
    </pivotField>
    <pivotField showAll="0"/>
    <pivotField showAll="0"/>
    <pivotField showAll="0">
      <items count="44">
        <item x="8"/>
        <item x="31"/>
        <item x="13"/>
        <item x="21"/>
        <item x="20"/>
        <item x="37"/>
        <item x="42"/>
        <item x="40"/>
        <item x="35"/>
        <item x="41"/>
        <item x="36"/>
        <item x="27"/>
        <item x="28"/>
        <item x="32"/>
        <item x="34"/>
        <item x="5"/>
        <item x="30"/>
        <item x="0"/>
        <item x="19"/>
        <item x="3"/>
        <item x="10"/>
        <item x="11"/>
        <item x="4"/>
        <item x="2"/>
        <item x="22"/>
        <item x="18"/>
        <item x="23"/>
        <item x="16"/>
        <item x="38"/>
        <item x="9"/>
        <item x="1"/>
        <item x="24"/>
        <item x="39"/>
        <item x="7"/>
        <item x="12"/>
        <item x="25"/>
        <item x="14"/>
        <item x="15"/>
        <item x="6"/>
        <item x="29"/>
        <item x="17"/>
        <item x="33"/>
        <item x="26"/>
        <item t="default"/>
      </items>
    </pivotField>
    <pivotField axis="axisRow" showAll="0">
      <items count="84">
        <item x="30"/>
        <item x="72"/>
        <item x="49"/>
        <item x="38"/>
        <item x="13"/>
        <item x="9"/>
        <item x="26"/>
        <item x="57"/>
        <item x="51"/>
        <item x="50"/>
        <item x="32"/>
        <item x="42"/>
        <item x="58"/>
        <item x="47"/>
        <item x="28"/>
        <item x="77"/>
        <item x="19"/>
        <item x="46"/>
        <item x="1"/>
        <item x="44"/>
        <item x="29"/>
        <item x="78"/>
        <item x="36"/>
        <item x="74"/>
        <item x="79"/>
        <item x="56"/>
        <item x="67"/>
        <item x="5"/>
        <item x="7"/>
        <item x="8"/>
        <item x="41"/>
        <item x="37"/>
        <item x="33"/>
        <item x="23"/>
        <item x="16"/>
        <item x="76"/>
        <item x="75"/>
        <item x="55"/>
        <item x="65"/>
        <item x="80"/>
        <item x="70"/>
        <item x="34"/>
        <item x="54"/>
        <item x="24"/>
        <item x="71"/>
        <item x="15"/>
        <item x="81"/>
        <item x="62"/>
        <item x="43"/>
        <item x="4"/>
        <item x="21"/>
        <item x="2"/>
        <item x="82"/>
        <item x="31"/>
        <item x="0"/>
        <item x="68"/>
        <item x="66"/>
        <item x="63"/>
        <item x="39"/>
        <item x="60"/>
        <item x="27"/>
        <item x="52"/>
        <item x="53"/>
        <item x="22"/>
        <item x="10"/>
        <item x="6"/>
        <item x="25"/>
        <item x="17"/>
        <item x="18"/>
        <item x="48"/>
        <item x="3"/>
        <item x="11"/>
        <item x="59"/>
        <item x="73"/>
        <item x="14"/>
        <item x="64"/>
        <item x="61"/>
        <item x="45"/>
        <item x="40"/>
        <item x="12"/>
        <item x="20"/>
        <item x="35"/>
        <item x="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Cuenta de Nombre" fld="5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0</v>
    <v>1</v>
    <v>EUR/MXN</v>
    <v>3</v>
    <v>4</v>
    <v>Finance</v>
    <v>5</v>
    <v>es-ES</v>
    <v>av8y8m</v>
    <v>268435456</v>
    <v>1</v>
    <v>Con tecnología de Refinitiv</v>
    <v>21.163699999999999</v>
    <v>4.7000000000000002E-3</v>
    <v>2.2220000000000001E-4</v>
    <v>21.1555</v>
    <v>EUR</v>
    <v>46021.010636574072</v>
    <v>21.167899999999999</v>
    <v>23.5199</v>
    <v>21.163499999999999</v>
    <v>20.907800000000002</v>
    <v>MXN</v>
    <v>Euro/Mexican Peso FX Cross Rate</v>
    <v>21.1602</v>
    <v>EURMXN</v>
    <v>Par de divisa</v>
    <v>EUR/MXN</v>
  </rv>
  <rv s="1">
    <v>0</v>
  </rv>
  <rv s="0">
    <v>0</v>
    <v>1</v>
    <v>USD/MXN</v>
    <v>3</v>
    <v>4</v>
    <v>Finance</v>
    <v>5</v>
    <v>es-ES</v>
    <v>avyqcw</v>
    <v>268435456</v>
    <v>1</v>
    <v>Con tecnología de Refinitiv</v>
    <v>17.965</v>
    <v>1.35E-2</v>
    <v>7.517E-4</v>
    <v>17.96</v>
    <v>USD</v>
    <v>46021.010625000003</v>
    <v>17.981000000000002</v>
    <v>21.2882</v>
    <v>17.976700000000001</v>
    <v>17.875900000000001</v>
    <v>MXN</v>
    <v>US Dollar/Mexican Peso FX Spot Rate</v>
    <v>17.973500000000001</v>
    <v>USDMXN</v>
    <v>Par de divisa</v>
    <v>USD/MXN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_CanonicalPropertyNames" t="spb"/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Apertura"/>
    <k n="Cambio"/>
    <k n="Cambio (%)"/>
    <k n="Cierre anterior"/>
    <k n="De la moneda" t="s"/>
    <k n="Hora de la última operación"/>
    <k n="Máximo"/>
    <k n="Máximo en 52 semanas"/>
    <k n="Mínimo"/>
    <k n="Mínimo en 52 semanas"/>
    <k n="Moneda" t="s"/>
    <k n="Nombre" t="s"/>
    <k n="Precio"/>
    <k n="Símbolo bursátil" t="s"/>
    <k n="Tipo de instrumento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Nombre</v>
      <v t="s">Precio</v>
      <v t="s">_SubLabel</v>
      <v t="s">Hora de la última operación</v>
      <v t="s">Símbolo bursátil</v>
      <v t="s">Cambio</v>
      <v t="s">Cambio (%)</v>
      <v t="s">Moneda</v>
      <v t="s">De la moneda</v>
      <v t="s">Cierre anterior</v>
      <v t="s">Apertura</v>
      <v t="s">Máximo</v>
      <v t="s">Mínimo</v>
      <v t="s">Máximo en 52 semanas</v>
      <v t="s">Mínimo en 52 semanas</v>
      <v t="s">Tipo de instrumento</v>
      <v t="s">_Flags</v>
      <v t="s">UniqueName</v>
      <v t="s">_DisplayString</v>
      <v t="s">%ProviderInfo</v>
    </a>
  </spbArrays>
  <spbData count="6">
    <spb s="0">
      <v>Change</v>
      <v>Currency</v>
      <v>High</v>
      <v>Low</v>
      <v>Name</v>
      <v>Price</v>
      <v>Open</v>
      <v>Change (%)</v>
      <v>UniqueName</v>
      <v>From currency</v>
      <v>%ProviderInfo</v>
      <v>Previous close</v>
      <v>Ticker symbol</v>
      <v>Instrument type</v>
      <v>52 week high</v>
      <v>52 week low</v>
      <v>Last trade time</v>
    </spb>
    <spb s="1">
      <v>0</v>
      <v>Name</v>
    </spb>
    <spb s="2">
      <v>0</v>
      <v>0</v>
      <v>0</v>
    </spb>
    <spb s="3">
      <v>2</v>
      <v>2</v>
    </spb>
    <spb s="4">
      <v>1</v>
      <v>1</v>
      <v>1</v>
      <v>2</v>
      <v>1</v>
      <v>1</v>
      <v>3</v>
      <v>1</v>
      <v>4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Cambio" t="s"/>
    <k n="Moneda" t="s"/>
    <k n="Máximo" t="s"/>
    <k n="Mínimo" t="s"/>
    <k n="Nombre" t="s"/>
    <k n="Precio" t="s"/>
    <k n="Apertura" t="s"/>
    <k n="Cambio (%)" t="s"/>
    <k n="UniqueName" t="s"/>
    <k n="De la moneda" t="s"/>
    <k n="%ProviderInfo" t="s"/>
    <k n="Cierre anterior" t="s"/>
    <k n="Símbolo bursátil" t="s"/>
    <k n="Tipo de instrumento" t="s"/>
    <k n="Máximo en 52 semanas" t="s"/>
    <k n="Mínimo en 52 semanas" t="s"/>
    <k n="Hora de la última operación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Cambio" t="i"/>
    <k n="Máximo" t="i"/>
    <k n="Mínimo" t="i"/>
    <k n="Nombre" t="i"/>
    <k n="Precio" t="i"/>
    <k n="Apertura" t="i"/>
    <k n="Cambio (%)" t="i"/>
    <k n="Cierre anterior" t="i"/>
    <k n="`%EntityServiceId" t="i"/>
    <k n="Máximo en 52 semanas" t="i"/>
    <k n="Mínimo en 52 semanas" t="i"/>
    <k n="Hora de la última operación" t="i"/>
  </s>
  <s>
    <k n="Hora de la última operació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14" formatCode="0.00%"/>
    </x:dxf>
    <x:dxf>
      <x:numFmt numFmtId="2" formatCode="0.00"/>
    </x:dxf>
    <x:dxf>
      <x:numFmt numFmtId="27" formatCode="dd/mm/yy\ h:mm"/>
    </x:dxf>
    <x:dxf>
      <x:numFmt numFmtId="0" formatCode="General"/>
    </x:dxf>
  </dxfs>
  <richProperties>
    <rPr n="NumberFormat" t="s"/>
    <rPr n="IsTitleField" t="b"/>
  </richProperties>
  <richStyles>
    <rSty dxfid="3">
      <rpv i="0">_-[$$-es-MX]* #,##0.00_-;-[$$-es-MX]* #,##0.00_-;_-[$$-es-MX]* "-"??_-;_-@_-</rpv>
    </rSty>
    <rSty>
      <rpv i="1">1</rpv>
    </rSty>
    <rSty dxfid="0"/>
    <rSty dxfid="1">
      <rpv i="0">0.00</rpv>
    </rSty>
    <rSty dxfid="2"/>
  </richStyles>
</richStyleSheet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eedor" xr10:uid="{5F2AAF60-D9EB-4EC9-A5A4-F04096AC929F}" sourceName="Proveedor">
  <extLst>
    <x:ext xmlns:x15="http://schemas.microsoft.com/office/spreadsheetml/2010/11/main" uri="{2F2917AC-EB37-4324-AD4E-5DD8C200BD13}">
      <x15:tableSlicerCache tableId="3" column="1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lataforma" xr10:uid="{45E7A80F-2ECE-4F4C-A113-C992FC4256A9}" sourceName="Plataforma">
  <extLst>
    <x:ext xmlns:x15="http://schemas.microsoft.com/office/spreadsheetml/2010/11/main" uri="{2F2917AC-EB37-4324-AD4E-5DD8C200BD13}">
      <x15:tableSlicerCache tableId="3" column="1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eedor" xr10:uid="{73C89396-7CBD-4516-AF27-BC4A4A96E296}" cache="SegmentaciónDeDatos_Proveedor" caption="Proveedor" columnCount="5" showCaption="0" rowHeight="241300"/>
  <slicer name="Proveedor 1" xr10:uid="{836D43B6-8A4B-4ACA-A829-5B99491FFFA6}" cache="SegmentaciónDeDatos_Proveedor" caption="Proveedor" columnCount="5" showCaption="0" rowHeight="241300"/>
  <slicer name="Plataforma" xr10:uid="{2BFB37ED-33D8-4BFE-8359-DDB877BE7253}" cache="SegmentaciónDeDatos_Plataforma" caption="Plataforma" columnCount="4" showCaption="0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153751-4492-4076-87FE-A883FF3C6BB0}" name="Tabla3" displayName="Tabla3" ref="B6:S672" totalsRowCount="1" dataDxfId="22">
  <autoFilter ref="B6:S671" xr:uid="{86153751-4492-4076-87FE-A883FF3C6BB0}"/>
  <sortState xmlns:xlrd2="http://schemas.microsoft.com/office/spreadsheetml/2017/richdata2" ref="B7:S671">
    <sortCondition ref="F6:F671"/>
  </sortState>
  <tableColumns count="18">
    <tableColumn id="1" xr3:uid="{B531BCAA-6735-493F-B969-579EA6E3D8F5}" name="Num" totalsRowLabel="Total" dataDxfId="21"/>
    <tableColumn id="2" xr3:uid="{3A6FE13C-A5AB-4C69-855D-559C7033CED4}" name="interno" dataDxfId="20"/>
    <tableColumn id="3" xr3:uid="{E9AFAAFC-EB82-46D0-B5DD-FB659EBAA609}" name="icc" dataDxfId="19"/>
    <tableColumn id="4" xr3:uid="{C193E826-BF84-40BF-9094-31C55CC1B924}" name="msisdn" dataDxfId="18"/>
    <tableColumn id="5" xr3:uid="{BE17CEED-4E32-45FB-B07C-2FD81D51C09A}" name="imei" dataDxfId="17"/>
    <tableColumn id="6" xr3:uid="{748C5E17-A114-4654-9FF0-81C0D1A8D63A}" name="Nombre" totalsRowFunction="count" dataDxfId="16"/>
    <tableColumn id="7" xr3:uid="{7628A4B7-138C-4E33-B5B1-56AF5C2B614A}" name="Imei Corto" dataDxfId="15"/>
    <tableColumn id="8" xr3:uid="{26E5C3E9-5C1F-4B9D-9AD6-CC22D09F863C}" name="imei2" dataDxfId="14" totalsRowDxfId="0"/>
    <tableColumn id="9" xr3:uid="{D2A7284E-1505-4923-ACCC-A81A4659E334}" name="Equipos" dataDxfId="13"/>
    <tableColumn id="10" xr3:uid="{160873D6-E0CB-4F45-A4A7-A12FBEC740ED}" name="Grupo" dataDxfId="12"/>
    <tableColumn id="11" xr3:uid="{1DD5168D-B215-4638-8FBB-3C75D3585A47}" name="Grupos" dataDxfId="11"/>
    <tableColumn id="12" xr3:uid="{376A5E7B-7C8E-4DE3-8460-594B23947A36}" name="Plataforma" dataDxfId="10"/>
    <tableColumn id="13" xr3:uid="{0A292B07-13BD-4DC8-9984-8DD661643CAE}" name="Proveedor" dataDxfId="9"/>
    <tableColumn id="14" xr3:uid="{85A5B8A5-0A29-48A1-AD96-4AD88604DD77}" name="Vencimiento" dataDxfId="8"/>
    <tableColumn id="15" xr3:uid="{63F04643-A534-4636-A078-E5A419080F27}" name="Plat Num" dataDxfId="7"/>
    <tableColumn id="16" xr3:uid="{8DF4D95B-6EDD-493F-BDD9-944CF8C43C4C}" name="Arrendam" totalsRowFunction="count" dataDxfId="6"/>
    <tableColumn id="17" xr3:uid="{AB1388C4-39A6-42F1-AA09-92954E53E861}" name="Precio" dataDxfId="5"/>
    <tableColumn id="18" xr3:uid="{F458FD7A-612B-4CA4-A075-E41BCCD8B64C}" name="Periodos" dataDxfId="4"/>
  </tableColumns>
  <tableStyleInfo name="TableStyleMedium2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9F54E0-B806-4A9A-9829-E91F4DA56C99}" name="Tabla2" displayName="Tabla2" ref="B3:E11" totalsRowShown="0">
  <autoFilter ref="B3:E11" xr:uid="{A89F54E0-B806-4A9A-9829-E91F4DA56C99}"/>
  <tableColumns count="4">
    <tableColumn id="1" xr3:uid="{E64A181B-6CFA-42B5-8DD4-D14026A9C524}" name="Proveedor"/>
    <tableColumn id="2" xr3:uid="{10CF4DBC-FB17-43C5-AE66-71C7278F32DA}" name="Costo" dataDxfId="3" dataCellStyle="Moneda"/>
    <tableColumn id="3" xr3:uid="{AC3C65D3-4952-4A55-91CB-EA44E1C2E56B}" name="Cantidad">
      <calculatedColumnFormula>COUNTIF(Principal!M:M,Costos!B4)</calculatedColumnFormula>
    </tableColumn>
    <tableColumn id="4" xr3:uid="{F0C6F269-651A-47FE-A170-F3FCF1F16DC6}" name="Costo Unitario" dataDxfId="2" dataCellStyle="Moneda">
      <calculatedColumnFormula>C4/D4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A55124-F88F-44AE-B53E-64AC48682C96}" name="Tabla1" displayName="Tabla1" ref="A1:D10" totalsRowShown="0">
  <autoFilter ref="A1:D10" xr:uid="{43A55124-F88F-44AE-B53E-64AC48682C96}"/>
  <tableColumns count="4">
    <tableColumn id="1" xr3:uid="{02DCFD65-7237-4C04-90F2-D6027639BE5E}" name="Fecha" dataDxfId="1"/>
    <tableColumn id="2" xr3:uid="{82F0360E-3C48-4148-898D-46A80EC35467}" name="Proveedor"/>
    <tableColumn id="3" xr3:uid="{3D781162-9E0B-4BED-8918-BDD89186AE6C}" name="Cantidad"/>
    <tableColumn id="4" xr3:uid="{8BD2ACC7-9E4D-4D9C-AC3B-31B637122773}" name="Costo Unitar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R672"/>
  <sheetViews>
    <sheetView tabSelected="1" zoomScaleNormal="100" workbookViewId="0">
      <selection activeCell="I32" sqref="I32"/>
    </sheetView>
  </sheetViews>
  <sheetFormatPr baseColWidth="10" defaultRowHeight="16.5" customHeight="1" x14ac:dyDescent="0.2"/>
  <cols>
    <col min="1" max="1" width="3.1640625" style="6" customWidth="1"/>
    <col min="2" max="2" width="8.6640625" style="6" customWidth="1"/>
    <col min="3" max="3" width="10.1640625" style="6" bestFit="1" customWidth="1"/>
    <col min="4" max="4" width="20.5" style="6" bestFit="1" customWidth="1"/>
    <col min="5" max="5" width="19.33203125" style="38" bestFit="1" customWidth="1"/>
    <col min="6" max="6" width="18" style="9" customWidth="1"/>
    <col min="7" max="7" width="43.1640625" style="6" bestFit="1" customWidth="1"/>
    <col min="8" max="8" width="16.1640625" style="6" bestFit="1" customWidth="1"/>
    <col min="9" max="9" width="19.33203125" style="6" bestFit="1" customWidth="1"/>
    <col min="10" max="10" width="24.5" style="6" bestFit="1" customWidth="1"/>
    <col min="11" max="11" width="18.5" style="6" bestFit="1" customWidth="1"/>
    <col min="12" max="12" width="11.83203125" style="6" bestFit="1" customWidth="1"/>
    <col min="13" max="13" width="15" style="6" bestFit="1" customWidth="1"/>
    <col min="14" max="14" width="13.6640625" style="6" customWidth="1"/>
    <col min="15" max="15" width="15.83203125" style="6" bestFit="1" customWidth="1"/>
    <col min="16" max="16" width="10.83203125" style="5" customWidth="1"/>
  </cols>
  <sheetData>
    <row r="1" spans="1:44" ht="16.5" customHeight="1" x14ac:dyDescent="0.2">
      <c r="A1" s="6" t="s">
        <v>2031</v>
      </c>
    </row>
    <row r="6" spans="1:44" ht="16.5" customHeight="1" x14ac:dyDescent="0.2">
      <c r="B6" s="39" t="s">
        <v>470</v>
      </c>
      <c r="C6" s="39" t="s">
        <v>1669</v>
      </c>
      <c r="D6" s="39" t="s">
        <v>0</v>
      </c>
      <c r="E6" s="39" t="s">
        <v>1</v>
      </c>
      <c r="F6" s="39" t="s">
        <v>2</v>
      </c>
      <c r="G6" s="40" t="s">
        <v>3</v>
      </c>
      <c r="H6" s="39" t="s">
        <v>4</v>
      </c>
      <c r="I6" s="6" t="s">
        <v>2030</v>
      </c>
      <c r="J6" s="39" t="s">
        <v>409</v>
      </c>
      <c r="K6" s="39" t="s">
        <v>408</v>
      </c>
      <c r="L6" s="39" t="s">
        <v>410</v>
      </c>
      <c r="M6" s="39" t="s">
        <v>420</v>
      </c>
      <c r="N6" s="39" t="s">
        <v>1051</v>
      </c>
      <c r="O6" s="39" t="s">
        <v>2103</v>
      </c>
      <c r="P6" s="39" t="s">
        <v>821</v>
      </c>
      <c r="Q6" t="s">
        <v>2113</v>
      </c>
      <c r="R6" t="s">
        <v>2114</v>
      </c>
      <c r="S6" t="s">
        <v>2115</v>
      </c>
    </row>
    <row r="7" spans="1:44" s="4" customFormat="1" ht="16.5" customHeight="1" x14ac:dyDescent="0.2">
      <c r="A7"/>
      <c r="B7" s="6">
        <f>600+Tabla3[[#This Row],[interno]]</f>
        <v>616</v>
      </c>
      <c r="C7" s="6">
        <v>16</v>
      </c>
      <c r="D7" s="79">
        <v>3331156832</v>
      </c>
      <c r="E7" s="86" t="s">
        <v>653</v>
      </c>
      <c r="F7" s="59" t="s">
        <v>811</v>
      </c>
      <c r="G7" s="59" t="s">
        <v>812</v>
      </c>
      <c r="H7" s="5" t="s">
        <v>811</v>
      </c>
      <c r="I7" s="48" t="s">
        <v>811</v>
      </c>
      <c r="J7" s="5" t="s">
        <v>807</v>
      </c>
      <c r="K7" s="5" t="s">
        <v>1094</v>
      </c>
      <c r="L7" s="6" t="s">
        <v>514</v>
      </c>
      <c r="M7" s="49" t="s">
        <v>582</v>
      </c>
      <c r="N7" s="49" t="s">
        <v>1665</v>
      </c>
      <c r="O7" s="49"/>
      <c r="P7" s="6">
        <v>1</v>
      </c>
      <c r="Q7" s="5"/>
      <c r="R7" s="5"/>
      <c r="S7" s="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4" customFormat="1" ht="16.5" customHeight="1" x14ac:dyDescent="0.2">
      <c r="A8"/>
      <c r="B8" s="6">
        <f>600+Tabla3[[#This Row],[interno]]</f>
        <v>635</v>
      </c>
      <c r="C8" s="6">
        <v>35</v>
      </c>
      <c r="D8" s="79">
        <v>3781166901</v>
      </c>
      <c r="E8" s="86" t="s">
        <v>805</v>
      </c>
      <c r="F8" s="59" t="s">
        <v>806</v>
      </c>
      <c r="G8" s="59" t="s">
        <v>809</v>
      </c>
      <c r="H8" s="5" t="s">
        <v>806</v>
      </c>
      <c r="I8" s="48" t="s">
        <v>806</v>
      </c>
      <c r="J8" s="5" t="s">
        <v>807</v>
      </c>
      <c r="K8" s="5" t="s">
        <v>1095</v>
      </c>
      <c r="L8" s="6" t="s">
        <v>514</v>
      </c>
      <c r="M8" s="49" t="s">
        <v>469</v>
      </c>
      <c r="N8" s="49" t="s">
        <v>1665</v>
      </c>
      <c r="O8" s="49"/>
      <c r="P8" s="6">
        <v>1</v>
      </c>
      <c r="Q8" s="5"/>
      <c r="R8" s="5"/>
      <c r="S8" s="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4" customFormat="1" ht="16.5" customHeight="1" x14ac:dyDescent="0.2">
      <c r="A9"/>
      <c r="B9" s="6">
        <v>71</v>
      </c>
      <c r="C9" s="6">
        <v>71</v>
      </c>
      <c r="D9" s="45" t="s">
        <v>1472</v>
      </c>
      <c r="E9" s="45" t="s">
        <v>1473</v>
      </c>
      <c r="F9" s="5" t="s">
        <v>14</v>
      </c>
      <c r="G9" s="5" t="s">
        <v>12</v>
      </c>
      <c r="H9" s="5" t="s">
        <v>14</v>
      </c>
      <c r="I9" s="45" t="s">
        <v>1096</v>
      </c>
      <c r="J9" s="5" t="s">
        <v>7</v>
      </c>
      <c r="K9" s="5" t="s">
        <v>13</v>
      </c>
      <c r="L9" s="6" t="s">
        <v>514</v>
      </c>
      <c r="M9" s="6" t="s">
        <v>469</v>
      </c>
      <c r="N9" s="6" t="s">
        <v>1662</v>
      </c>
      <c r="O9" s="6"/>
      <c r="P9" s="6">
        <v>1</v>
      </c>
      <c r="Q9" s="5"/>
      <c r="R9" s="5"/>
      <c r="S9" s="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4" customFormat="1" ht="16.5" customHeight="1" x14ac:dyDescent="0.2">
      <c r="A10"/>
      <c r="B10" s="6">
        <v>115</v>
      </c>
      <c r="C10" s="6">
        <v>115</v>
      </c>
      <c r="D10" s="45" t="s">
        <v>1536</v>
      </c>
      <c r="E10" s="45" t="s">
        <v>1537</v>
      </c>
      <c r="F10" s="5" t="s">
        <v>26</v>
      </c>
      <c r="G10" s="5" t="s">
        <v>24</v>
      </c>
      <c r="H10" s="5" t="s">
        <v>26</v>
      </c>
      <c r="I10" s="45" t="s">
        <v>1097</v>
      </c>
      <c r="J10" s="5" t="s">
        <v>7</v>
      </c>
      <c r="K10" s="5" t="s">
        <v>25</v>
      </c>
      <c r="L10" s="6" t="s">
        <v>514</v>
      </c>
      <c r="M10" s="6" t="s">
        <v>469</v>
      </c>
      <c r="N10" s="6" t="s">
        <v>1662</v>
      </c>
      <c r="O10" s="6"/>
      <c r="P10" s="6">
        <v>1</v>
      </c>
      <c r="Q10" s="5"/>
      <c r="R10" s="5"/>
      <c r="S10" s="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16.5" customHeight="1" x14ac:dyDescent="0.2">
      <c r="B11" s="6">
        <v>116</v>
      </c>
      <c r="C11" s="6">
        <v>116</v>
      </c>
      <c r="D11" s="45" t="s">
        <v>1538</v>
      </c>
      <c r="E11" s="45" t="s">
        <v>1539</v>
      </c>
      <c r="F11" s="5" t="s">
        <v>29</v>
      </c>
      <c r="G11" s="5" t="s">
        <v>726</v>
      </c>
      <c r="H11" s="5" t="s">
        <v>29</v>
      </c>
      <c r="I11" s="45" t="s">
        <v>1649</v>
      </c>
      <c r="J11" s="5" t="s">
        <v>7</v>
      </c>
      <c r="K11" s="5" t="s">
        <v>28</v>
      </c>
      <c r="L11" s="6" t="s">
        <v>540</v>
      </c>
      <c r="M11" s="6" t="s">
        <v>469</v>
      </c>
      <c r="N11" s="6" t="s">
        <v>1662</v>
      </c>
      <c r="P11" s="6">
        <v>1</v>
      </c>
      <c r="Q11" s="5"/>
      <c r="R11" s="5"/>
      <c r="S11" s="5"/>
    </row>
    <row r="12" spans="1:44" ht="16.5" customHeight="1" x14ac:dyDescent="0.2">
      <c r="B12" s="6">
        <v>514</v>
      </c>
      <c r="C12" s="6">
        <v>314</v>
      </c>
      <c r="D12" s="33" t="s">
        <v>2550</v>
      </c>
      <c r="E12" s="6"/>
      <c r="F12" s="45" t="s">
        <v>32</v>
      </c>
      <c r="G12" s="9" t="s">
        <v>30</v>
      </c>
      <c r="H12" s="45" t="s">
        <v>32</v>
      </c>
      <c r="I12" s="33" t="s">
        <v>2646</v>
      </c>
      <c r="J12" s="6" t="s">
        <v>7</v>
      </c>
      <c r="K12" s="6" t="s">
        <v>2647</v>
      </c>
      <c r="L12" s="6" t="s">
        <v>514</v>
      </c>
      <c r="M12" s="6" t="s">
        <v>469</v>
      </c>
      <c r="N12" s="49" t="s">
        <v>1663</v>
      </c>
      <c r="O12" s="43"/>
      <c r="P12" s="6"/>
      <c r="Q12" s="5"/>
      <c r="R12" s="5"/>
      <c r="S12" s="5"/>
    </row>
    <row r="13" spans="1:44" ht="16.5" customHeight="1" x14ac:dyDescent="0.2">
      <c r="B13" s="6">
        <v>103</v>
      </c>
      <c r="C13" s="6">
        <v>103</v>
      </c>
      <c r="D13" s="45" t="s">
        <v>1492</v>
      </c>
      <c r="E13" s="45" t="s">
        <v>1493</v>
      </c>
      <c r="F13" s="5" t="s">
        <v>39</v>
      </c>
      <c r="G13" s="5" t="s">
        <v>1098</v>
      </c>
      <c r="H13" s="5" t="s">
        <v>39</v>
      </c>
      <c r="I13" s="45" t="s">
        <v>1099</v>
      </c>
      <c r="J13" s="5" t="s">
        <v>7</v>
      </c>
      <c r="K13" s="5" t="s">
        <v>38</v>
      </c>
      <c r="L13" s="6" t="s">
        <v>514</v>
      </c>
      <c r="M13" s="6" t="s">
        <v>469</v>
      </c>
      <c r="N13" s="6" t="s">
        <v>1662</v>
      </c>
      <c r="P13" s="6">
        <v>1</v>
      </c>
      <c r="Q13" s="5"/>
      <c r="R13" s="5"/>
      <c r="S13" s="5"/>
    </row>
    <row r="14" spans="1:44" ht="16.5" customHeight="1" x14ac:dyDescent="0.2">
      <c r="B14" s="6">
        <v>98</v>
      </c>
      <c r="C14" s="6">
        <v>98</v>
      </c>
      <c r="D14" s="45" t="s">
        <v>1498</v>
      </c>
      <c r="E14" s="45" t="s">
        <v>1499</v>
      </c>
      <c r="F14" s="5" t="s">
        <v>42</v>
      </c>
      <c r="G14" s="5" t="s">
        <v>1100</v>
      </c>
      <c r="H14" s="5" t="s">
        <v>42</v>
      </c>
      <c r="I14" s="45" t="s">
        <v>1643</v>
      </c>
      <c r="J14" s="5" t="s">
        <v>7</v>
      </c>
      <c r="K14" s="5" t="s">
        <v>135</v>
      </c>
      <c r="L14" s="6" t="s">
        <v>541</v>
      </c>
      <c r="M14" s="6" t="s">
        <v>469</v>
      </c>
      <c r="N14" s="6" t="s">
        <v>1662</v>
      </c>
      <c r="P14" s="6">
        <v>1</v>
      </c>
      <c r="Q14" s="5"/>
      <c r="R14" s="5"/>
      <c r="S14" s="5"/>
    </row>
    <row r="15" spans="1:44" ht="16.5" customHeight="1" x14ac:dyDescent="0.2">
      <c r="B15" s="6">
        <v>94</v>
      </c>
      <c r="C15" s="6">
        <v>94</v>
      </c>
      <c r="D15" s="45" t="s">
        <v>1500</v>
      </c>
      <c r="E15" s="45" t="s">
        <v>1501</v>
      </c>
      <c r="F15" s="5" t="s">
        <v>45</v>
      </c>
      <c r="G15" s="5" t="s">
        <v>43</v>
      </c>
      <c r="H15" s="5" t="s">
        <v>45</v>
      </c>
      <c r="I15" s="45" t="s">
        <v>1101</v>
      </c>
      <c r="J15" s="5" t="s">
        <v>7</v>
      </c>
      <c r="K15" s="5" t="s">
        <v>44</v>
      </c>
      <c r="L15" s="6" t="s">
        <v>540</v>
      </c>
      <c r="M15" s="6" t="s">
        <v>469</v>
      </c>
      <c r="N15" s="6" t="s">
        <v>1662</v>
      </c>
      <c r="P15" s="6">
        <v>1</v>
      </c>
      <c r="Q15" s="5"/>
      <c r="R15" s="5"/>
      <c r="S15" s="5"/>
    </row>
    <row r="16" spans="1:44" ht="16.5" customHeight="1" x14ac:dyDescent="0.2">
      <c r="B16" s="6">
        <v>101</v>
      </c>
      <c r="C16" s="6">
        <v>101</v>
      </c>
      <c r="D16" s="45" t="s">
        <v>1494</v>
      </c>
      <c r="E16" s="45" t="s">
        <v>1495</v>
      </c>
      <c r="F16" s="5" t="s">
        <v>49</v>
      </c>
      <c r="G16" s="5" t="s">
        <v>1102</v>
      </c>
      <c r="H16" s="5" t="s">
        <v>49</v>
      </c>
      <c r="I16" s="45" t="s">
        <v>1103</v>
      </c>
      <c r="J16" s="5" t="s">
        <v>7</v>
      </c>
      <c r="K16" s="5" t="s">
        <v>48</v>
      </c>
      <c r="L16" s="6" t="s">
        <v>541</v>
      </c>
      <c r="M16" s="6" t="s">
        <v>469</v>
      </c>
      <c r="N16" s="6" t="s">
        <v>1662</v>
      </c>
      <c r="P16" s="6">
        <v>1</v>
      </c>
      <c r="Q16" s="5"/>
      <c r="R16" s="5"/>
      <c r="S16" s="5"/>
    </row>
    <row r="17" spans="1:44" ht="16.5" customHeight="1" x14ac:dyDescent="0.2">
      <c r="B17" s="6">
        <v>102</v>
      </c>
      <c r="C17" s="6">
        <v>102</v>
      </c>
      <c r="D17" s="45" t="s">
        <v>1496</v>
      </c>
      <c r="E17" s="45" t="s">
        <v>1497</v>
      </c>
      <c r="F17" s="5" t="s">
        <v>51</v>
      </c>
      <c r="G17" s="5" t="s">
        <v>1104</v>
      </c>
      <c r="H17" s="5" t="s">
        <v>51</v>
      </c>
      <c r="I17" s="45" t="s">
        <v>1105</v>
      </c>
      <c r="J17" s="5" t="s">
        <v>7</v>
      </c>
      <c r="K17" s="5" t="s">
        <v>48</v>
      </c>
      <c r="L17" s="6" t="s">
        <v>541</v>
      </c>
      <c r="M17" s="6" t="s">
        <v>469</v>
      </c>
      <c r="N17" s="6" t="s">
        <v>1662</v>
      </c>
      <c r="P17" s="6">
        <v>1</v>
      </c>
      <c r="Q17" s="5"/>
      <c r="R17" s="5"/>
      <c r="S17" s="5"/>
    </row>
    <row r="18" spans="1:44" ht="16.5" customHeight="1" x14ac:dyDescent="0.2">
      <c r="B18" s="6">
        <v>100</v>
      </c>
      <c r="C18" s="6">
        <v>100</v>
      </c>
      <c r="D18" s="45" t="s">
        <v>1490</v>
      </c>
      <c r="E18" s="45" t="s">
        <v>1491</v>
      </c>
      <c r="F18" s="5" t="s">
        <v>54</v>
      </c>
      <c r="G18" s="5" t="s">
        <v>1106</v>
      </c>
      <c r="H18" s="5" t="s">
        <v>54</v>
      </c>
      <c r="I18" s="45" t="s">
        <v>1107</v>
      </c>
      <c r="J18" s="5" t="s">
        <v>7</v>
      </c>
      <c r="K18" s="5" t="s">
        <v>53</v>
      </c>
      <c r="L18" s="6" t="s">
        <v>514</v>
      </c>
      <c r="M18" s="6" t="s">
        <v>469</v>
      </c>
      <c r="N18" s="6" t="s">
        <v>1662</v>
      </c>
      <c r="P18" s="6">
        <v>1</v>
      </c>
      <c r="Q18" s="5"/>
      <c r="R18" s="5"/>
      <c r="S18" s="5"/>
    </row>
    <row r="19" spans="1:44" ht="16.5" customHeight="1" x14ac:dyDescent="0.2">
      <c r="B19" s="6">
        <v>54</v>
      </c>
      <c r="C19" s="6">
        <v>54</v>
      </c>
      <c r="D19" s="45" t="s">
        <v>1439</v>
      </c>
      <c r="E19" s="45" t="s">
        <v>1440</v>
      </c>
      <c r="F19" s="5" t="s">
        <v>60</v>
      </c>
      <c r="G19" s="5" t="s">
        <v>893</v>
      </c>
      <c r="H19" s="5" t="s">
        <v>60</v>
      </c>
      <c r="I19" s="45" t="s">
        <v>1109</v>
      </c>
      <c r="J19" s="5" t="s">
        <v>59</v>
      </c>
      <c r="K19" s="5" t="s">
        <v>41</v>
      </c>
      <c r="L19" s="6" t="s">
        <v>541</v>
      </c>
      <c r="M19" s="6" t="s">
        <v>469</v>
      </c>
      <c r="N19" s="6" t="s">
        <v>1662</v>
      </c>
      <c r="P19" s="6">
        <v>1</v>
      </c>
      <c r="Q19" s="5"/>
      <c r="R19" s="5"/>
      <c r="S19" s="5"/>
    </row>
    <row r="20" spans="1:44" ht="16.5" customHeight="1" x14ac:dyDescent="0.2">
      <c r="B20" s="6">
        <v>69</v>
      </c>
      <c r="C20" s="6">
        <v>69</v>
      </c>
      <c r="D20" s="45" t="s">
        <v>1466</v>
      </c>
      <c r="E20" s="45" t="s">
        <v>1467</v>
      </c>
      <c r="F20" s="5" t="s">
        <v>62</v>
      </c>
      <c r="G20" s="5" t="s">
        <v>61</v>
      </c>
      <c r="H20" s="5" t="s">
        <v>62</v>
      </c>
      <c r="I20" s="45" t="s">
        <v>1110</v>
      </c>
      <c r="J20" s="5" t="s">
        <v>59</v>
      </c>
      <c r="K20" s="5" t="s">
        <v>44</v>
      </c>
      <c r="L20" s="6" t="s">
        <v>540</v>
      </c>
      <c r="M20" s="6" t="s">
        <v>469</v>
      </c>
      <c r="N20" s="6" t="s">
        <v>1662</v>
      </c>
      <c r="P20" s="6">
        <v>1</v>
      </c>
      <c r="Q20" s="5"/>
      <c r="R20" s="5"/>
      <c r="S20" s="5"/>
    </row>
    <row r="21" spans="1:44" ht="16.5" customHeight="1" x14ac:dyDescent="0.2">
      <c r="B21" s="6">
        <v>52</v>
      </c>
      <c r="C21" s="6">
        <v>52</v>
      </c>
      <c r="D21" s="45" t="s">
        <v>1441</v>
      </c>
      <c r="E21" s="45" t="s">
        <v>1442</v>
      </c>
      <c r="F21" s="5" t="s">
        <v>66</v>
      </c>
      <c r="G21" s="5" t="s">
        <v>65</v>
      </c>
      <c r="H21" s="5" t="s">
        <v>66</v>
      </c>
      <c r="I21" s="45" t="s">
        <v>1111</v>
      </c>
      <c r="J21" s="5" t="s">
        <v>59</v>
      </c>
      <c r="K21" s="5" t="s">
        <v>53</v>
      </c>
      <c r="L21" s="6" t="s">
        <v>514</v>
      </c>
      <c r="M21" s="6" t="s">
        <v>469</v>
      </c>
      <c r="N21" s="6" t="s">
        <v>1662</v>
      </c>
      <c r="P21" s="6">
        <v>1</v>
      </c>
      <c r="Q21" s="5"/>
      <c r="R21" s="5"/>
      <c r="S21" s="5"/>
    </row>
    <row r="22" spans="1:44" ht="16.5" customHeight="1" x14ac:dyDescent="0.2">
      <c r="B22" s="6">
        <v>61</v>
      </c>
      <c r="C22" s="6">
        <v>61</v>
      </c>
      <c r="D22" s="45" t="s">
        <v>1470</v>
      </c>
      <c r="E22" s="45" t="s">
        <v>1471</v>
      </c>
      <c r="F22" s="5" t="s">
        <v>77</v>
      </c>
      <c r="G22" s="5" t="s">
        <v>75</v>
      </c>
      <c r="H22" s="5" t="s">
        <v>77</v>
      </c>
      <c r="I22" s="45" t="s">
        <v>1112</v>
      </c>
      <c r="J22" s="5" t="s">
        <v>59</v>
      </c>
      <c r="K22" s="5" t="s">
        <v>76</v>
      </c>
      <c r="L22" s="6" t="s">
        <v>514</v>
      </c>
      <c r="M22" s="6" t="s">
        <v>469</v>
      </c>
      <c r="N22" s="6" t="s">
        <v>1662</v>
      </c>
      <c r="P22" s="6">
        <v>1</v>
      </c>
      <c r="Q22" s="5"/>
      <c r="R22" s="5"/>
      <c r="S22" s="5"/>
    </row>
    <row r="23" spans="1:44" ht="16.5" customHeight="1" x14ac:dyDescent="0.2">
      <c r="B23" s="6">
        <v>567</v>
      </c>
      <c r="C23" s="6">
        <v>128</v>
      </c>
      <c r="D23" s="45" t="s">
        <v>1572</v>
      </c>
      <c r="E23" s="45" t="s">
        <v>1573</v>
      </c>
      <c r="F23" s="5" t="s">
        <v>87</v>
      </c>
      <c r="G23" s="5" t="s">
        <v>85</v>
      </c>
      <c r="H23" s="5" t="s">
        <v>87</v>
      </c>
      <c r="I23" s="45" t="s">
        <v>1113</v>
      </c>
      <c r="J23" s="5" t="s">
        <v>59</v>
      </c>
      <c r="K23" s="5" t="s">
        <v>86</v>
      </c>
      <c r="L23" s="6" t="s">
        <v>514</v>
      </c>
      <c r="M23" s="6" t="s">
        <v>469</v>
      </c>
      <c r="N23" s="6" t="s">
        <v>2289</v>
      </c>
      <c r="P23" s="6">
        <v>1</v>
      </c>
      <c r="Q23" s="5"/>
      <c r="R23" s="5"/>
      <c r="S23" s="5"/>
    </row>
    <row r="24" spans="1:44" ht="16.5" customHeight="1" x14ac:dyDescent="0.2">
      <c r="B24" s="6">
        <f>600+Tabla3[[#This Row],[interno]]</f>
        <v>610</v>
      </c>
      <c r="C24" s="6">
        <v>10</v>
      </c>
      <c r="D24" s="80">
        <v>3331156603</v>
      </c>
      <c r="E24" s="46">
        <v>3331156603</v>
      </c>
      <c r="F24" s="45" t="s">
        <v>473</v>
      </c>
      <c r="G24" s="5" t="s">
        <v>474</v>
      </c>
      <c r="H24" s="5" t="s">
        <v>473</v>
      </c>
      <c r="I24" s="49"/>
      <c r="J24" s="5" t="s">
        <v>59</v>
      </c>
      <c r="K24" s="5" t="s">
        <v>132</v>
      </c>
      <c r="L24" s="6" t="s">
        <v>540</v>
      </c>
      <c r="M24" s="49" t="s">
        <v>469</v>
      </c>
      <c r="N24" s="49" t="s">
        <v>1665</v>
      </c>
      <c r="O24" s="49"/>
      <c r="P24" s="6">
        <v>1</v>
      </c>
      <c r="Q24" s="5"/>
      <c r="R24" s="5"/>
      <c r="S24" s="5"/>
    </row>
    <row r="25" spans="1:44" ht="16.5" customHeight="1" x14ac:dyDescent="0.2">
      <c r="B25" s="6">
        <f>600+Tabla3[[#This Row],[interno]]</f>
        <v>622</v>
      </c>
      <c r="C25" s="6">
        <v>22</v>
      </c>
      <c r="D25" s="80">
        <v>3339561780</v>
      </c>
      <c r="E25" s="46">
        <v>3339561780</v>
      </c>
      <c r="F25" s="5" t="s">
        <v>475</v>
      </c>
      <c r="G25" s="5" t="s">
        <v>1114</v>
      </c>
      <c r="H25" s="5" t="s">
        <v>475</v>
      </c>
      <c r="I25" s="49"/>
      <c r="J25" s="5" t="s">
        <v>59</v>
      </c>
      <c r="K25" s="5" t="s">
        <v>132</v>
      </c>
      <c r="L25" s="6" t="s">
        <v>540</v>
      </c>
      <c r="M25" s="49" t="s">
        <v>469</v>
      </c>
      <c r="N25" s="49" t="s">
        <v>1665</v>
      </c>
      <c r="O25" s="49"/>
      <c r="P25" s="6">
        <v>1</v>
      </c>
      <c r="Q25" s="5"/>
      <c r="R25" s="5"/>
      <c r="S25" s="5"/>
    </row>
    <row r="26" spans="1:44" ht="16.5" customHeight="1" x14ac:dyDescent="0.2">
      <c r="B26" s="6">
        <f>600+Tabla3[[#This Row],[interno]]</f>
        <v>607</v>
      </c>
      <c r="C26" s="6">
        <v>7</v>
      </c>
      <c r="D26" s="80">
        <v>3316026798</v>
      </c>
      <c r="E26" s="46">
        <v>3316026798</v>
      </c>
      <c r="F26" s="45" t="s">
        <v>476</v>
      </c>
      <c r="G26" s="5" t="s">
        <v>1115</v>
      </c>
      <c r="H26" s="5" t="s">
        <v>476</v>
      </c>
      <c r="I26" s="49"/>
      <c r="J26" s="5" t="s">
        <v>59</v>
      </c>
      <c r="K26" s="5" t="s">
        <v>132</v>
      </c>
      <c r="L26" s="6" t="s">
        <v>540</v>
      </c>
      <c r="M26" s="49" t="s">
        <v>469</v>
      </c>
      <c r="N26" s="49" t="s">
        <v>1665</v>
      </c>
      <c r="O26" s="49"/>
      <c r="P26" s="6">
        <v>1</v>
      </c>
      <c r="Q26" s="5"/>
      <c r="R26" s="5"/>
      <c r="S26" s="5"/>
    </row>
    <row r="27" spans="1:44" s="4" customFormat="1" ht="16.5" customHeight="1" x14ac:dyDescent="0.2">
      <c r="A27"/>
      <c r="B27" s="6">
        <v>434</v>
      </c>
      <c r="C27" s="6">
        <v>234</v>
      </c>
      <c r="D27" s="33" t="s">
        <v>2353</v>
      </c>
      <c r="E27" s="6" t="s">
        <v>915</v>
      </c>
      <c r="F27" s="45" t="s">
        <v>478</v>
      </c>
      <c r="G27" s="5" t="s">
        <v>2364</v>
      </c>
      <c r="H27" s="5" t="s">
        <v>478</v>
      </c>
      <c r="I27" s="6"/>
      <c r="J27" s="5" t="s">
        <v>59</v>
      </c>
      <c r="K27" s="5" t="s">
        <v>44</v>
      </c>
      <c r="L27" s="6" t="s">
        <v>540</v>
      </c>
      <c r="M27" s="49" t="s">
        <v>469</v>
      </c>
      <c r="N27" s="49" t="s">
        <v>1663</v>
      </c>
      <c r="O27" s="6"/>
      <c r="P27" s="6"/>
      <c r="Q27" s="5"/>
      <c r="R27" s="5"/>
      <c r="S27" s="5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s="4" customFormat="1" ht="16.5" customHeight="1" x14ac:dyDescent="0.2">
      <c r="A28"/>
      <c r="B28" s="6">
        <v>291</v>
      </c>
      <c r="C28" s="6">
        <v>91</v>
      </c>
      <c r="D28" s="33" t="s">
        <v>1674</v>
      </c>
      <c r="E28" s="6" t="s">
        <v>915</v>
      </c>
      <c r="F28" s="33" t="s">
        <v>1686</v>
      </c>
      <c r="G28" s="37" t="s">
        <v>1806</v>
      </c>
      <c r="H28" s="33" t="s">
        <v>1686</v>
      </c>
      <c r="I28" s="6"/>
      <c r="J28" s="6" t="s">
        <v>59</v>
      </c>
      <c r="K28" s="6" t="s">
        <v>1688</v>
      </c>
      <c r="L28" s="6" t="s">
        <v>514</v>
      </c>
      <c r="M28" s="49" t="s">
        <v>469</v>
      </c>
      <c r="N28" s="6" t="s">
        <v>1663</v>
      </c>
      <c r="O28" s="6"/>
      <c r="P28" s="6"/>
      <c r="Q28" s="5"/>
      <c r="R28" s="5"/>
      <c r="S28" s="5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s="4" customFormat="1" ht="16.5" customHeight="1" x14ac:dyDescent="0.2">
      <c r="A29"/>
      <c r="B29" s="6">
        <v>292</v>
      </c>
      <c r="C29" s="6">
        <v>92</v>
      </c>
      <c r="D29" s="33" t="s">
        <v>1675</v>
      </c>
      <c r="E29" s="6" t="s">
        <v>915</v>
      </c>
      <c r="F29" s="33" t="s">
        <v>1687</v>
      </c>
      <c r="G29" s="37" t="s">
        <v>1807</v>
      </c>
      <c r="H29" s="33" t="s">
        <v>1687</v>
      </c>
      <c r="I29" s="6"/>
      <c r="J29" s="6" t="s">
        <v>59</v>
      </c>
      <c r="K29" s="6" t="s">
        <v>1688</v>
      </c>
      <c r="L29" s="6" t="s">
        <v>514</v>
      </c>
      <c r="M29" s="49" t="s">
        <v>469</v>
      </c>
      <c r="N29" s="6" t="s">
        <v>1663</v>
      </c>
      <c r="O29" s="6"/>
      <c r="P29" s="6"/>
      <c r="Q29" s="5"/>
      <c r="R29" s="5"/>
      <c r="S29" s="5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s="4" customFormat="1" ht="16.5" customHeight="1" x14ac:dyDescent="0.2">
      <c r="A30"/>
      <c r="B30" s="6">
        <v>294</v>
      </c>
      <c r="C30" s="6">
        <v>94</v>
      </c>
      <c r="D30" s="33" t="s">
        <v>1690</v>
      </c>
      <c r="E30" s="6" t="s">
        <v>915</v>
      </c>
      <c r="F30" s="33" t="s">
        <v>1695</v>
      </c>
      <c r="G30" s="9" t="s">
        <v>1696</v>
      </c>
      <c r="H30" s="33" t="s">
        <v>1695</v>
      </c>
      <c r="I30" s="6"/>
      <c r="J30" s="6" t="s">
        <v>59</v>
      </c>
      <c r="K30" s="6" t="s">
        <v>1688</v>
      </c>
      <c r="L30" s="6" t="s">
        <v>514</v>
      </c>
      <c r="M30" s="49" t="s">
        <v>469</v>
      </c>
      <c r="N30" s="6" t="s">
        <v>1663</v>
      </c>
      <c r="O30" s="6"/>
      <c r="P30" s="6"/>
      <c r="Q30" s="5"/>
      <c r="R30" s="5"/>
      <c r="S30" s="5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s="4" customFormat="1" ht="16.5" customHeight="1" x14ac:dyDescent="0.2">
      <c r="A31"/>
      <c r="B31" s="6">
        <v>293</v>
      </c>
      <c r="C31" s="6">
        <v>93</v>
      </c>
      <c r="D31" s="33" t="s">
        <v>1689</v>
      </c>
      <c r="E31" s="6" t="s">
        <v>915</v>
      </c>
      <c r="F31" s="33" t="s">
        <v>1694</v>
      </c>
      <c r="G31" s="37" t="s">
        <v>1808</v>
      </c>
      <c r="H31" s="33" t="s">
        <v>1694</v>
      </c>
      <c r="I31" s="6"/>
      <c r="J31" s="6" t="s">
        <v>59</v>
      </c>
      <c r="K31" s="6" t="s">
        <v>1688</v>
      </c>
      <c r="L31" s="6" t="s">
        <v>514</v>
      </c>
      <c r="M31" s="49" t="s">
        <v>469</v>
      </c>
      <c r="N31" s="6" t="s">
        <v>1663</v>
      </c>
      <c r="O31" s="6"/>
      <c r="P31" s="6"/>
      <c r="Q31" s="5"/>
      <c r="R31" s="5"/>
      <c r="S31" s="5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s="4" customFormat="1" ht="16.5" customHeight="1" x14ac:dyDescent="0.2">
      <c r="A32"/>
      <c r="B32" s="6">
        <v>304</v>
      </c>
      <c r="C32" s="6">
        <v>104</v>
      </c>
      <c r="D32" s="33" t="s">
        <v>1719</v>
      </c>
      <c r="E32" s="6" t="s">
        <v>915</v>
      </c>
      <c r="F32" s="33" t="s">
        <v>1720</v>
      </c>
      <c r="G32" s="9" t="s">
        <v>1723</v>
      </c>
      <c r="H32" s="33" t="s">
        <v>1720</v>
      </c>
      <c r="I32" s="33" t="s">
        <v>1721</v>
      </c>
      <c r="J32" s="5" t="s">
        <v>59</v>
      </c>
      <c r="K32" s="6" t="s">
        <v>1716</v>
      </c>
      <c r="L32" s="6" t="s">
        <v>514</v>
      </c>
      <c r="M32" s="49" t="s">
        <v>469</v>
      </c>
      <c r="N32" s="6" t="s">
        <v>1663</v>
      </c>
      <c r="O32" s="6" t="s">
        <v>2515</v>
      </c>
      <c r="P32" s="6"/>
      <c r="Q32" s="5"/>
      <c r="R32" s="5"/>
      <c r="S32" s="5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s="4" customFormat="1" ht="16.5" customHeight="1" x14ac:dyDescent="0.2">
      <c r="A33"/>
      <c r="B33" s="6">
        <v>27</v>
      </c>
      <c r="C33" s="6">
        <v>27</v>
      </c>
      <c r="D33" s="45" t="s">
        <v>1389</v>
      </c>
      <c r="E33" s="45" t="s">
        <v>1390</v>
      </c>
      <c r="F33" s="5" t="s">
        <v>92</v>
      </c>
      <c r="G33" s="5" t="s">
        <v>90</v>
      </c>
      <c r="H33" s="5" t="s">
        <v>92</v>
      </c>
      <c r="I33" s="45" t="s">
        <v>1622</v>
      </c>
      <c r="J33" s="5" t="s">
        <v>7</v>
      </c>
      <c r="K33" s="5" t="s">
        <v>91</v>
      </c>
      <c r="L33" s="6" t="s">
        <v>514</v>
      </c>
      <c r="M33" s="6" t="s">
        <v>469</v>
      </c>
      <c r="N33" s="6" t="s">
        <v>1662</v>
      </c>
      <c r="O33" s="6"/>
      <c r="P33" s="6">
        <v>1</v>
      </c>
      <c r="Q33" s="5"/>
      <c r="R33" s="5"/>
      <c r="S33" s="5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s="4" customFormat="1" ht="16.5" customHeight="1" x14ac:dyDescent="0.2">
      <c r="A34"/>
      <c r="B34" s="6">
        <v>4</v>
      </c>
      <c r="C34" s="6">
        <v>4</v>
      </c>
      <c r="D34" s="45" t="s">
        <v>1347</v>
      </c>
      <c r="E34" s="45" t="s">
        <v>1348</v>
      </c>
      <c r="F34" s="5" t="s">
        <v>95</v>
      </c>
      <c r="G34" s="5" t="s">
        <v>93</v>
      </c>
      <c r="H34" s="5" t="s">
        <v>95</v>
      </c>
      <c r="I34" s="45" t="s">
        <v>1606</v>
      </c>
      <c r="J34" s="5" t="s">
        <v>7</v>
      </c>
      <c r="K34" s="5" t="s">
        <v>94</v>
      </c>
      <c r="L34" s="6" t="s">
        <v>514</v>
      </c>
      <c r="M34" s="6" t="s">
        <v>469</v>
      </c>
      <c r="N34" s="6" t="s">
        <v>1662</v>
      </c>
      <c r="O34" s="6"/>
      <c r="P34" s="6">
        <v>1</v>
      </c>
      <c r="Q34" s="5"/>
      <c r="R34" s="5"/>
      <c r="S34" s="5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6.5" customHeight="1" x14ac:dyDescent="0.2">
      <c r="B35" s="6">
        <v>13</v>
      </c>
      <c r="C35" s="6">
        <v>13</v>
      </c>
      <c r="D35" s="45" t="s">
        <v>1385</v>
      </c>
      <c r="E35" s="45" t="s">
        <v>1386</v>
      </c>
      <c r="F35" s="5" t="s">
        <v>114</v>
      </c>
      <c r="G35" s="5" t="s">
        <v>112</v>
      </c>
      <c r="H35" s="5" t="s">
        <v>114</v>
      </c>
      <c r="I35" s="45" t="s">
        <v>1620</v>
      </c>
      <c r="J35" s="5" t="s">
        <v>7</v>
      </c>
      <c r="K35" s="5" t="s">
        <v>113</v>
      </c>
      <c r="L35" s="6" t="s">
        <v>514</v>
      </c>
      <c r="M35" s="6" t="s">
        <v>469</v>
      </c>
      <c r="N35" s="6" t="s">
        <v>1662</v>
      </c>
      <c r="P35" s="6">
        <v>1</v>
      </c>
      <c r="Q35" s="5"/>
      <c r="R35" s="5"/>
      <c r="S35" s="5"/>
    </row>
    <row r="36" spans="1:44" ht="16.5" customHeight="1" x14ac:dyDescent="0.2">
      <c r="B36" s="6">
        <v>12</v>
      </c>
      <c r="C36" s="6">
        <v>12</v>
      </c>
      <c r="D36" s="45" t="s">
        <v>1381</v>
      </c>
      <c r="E36" s="45" t="s">
        <v>1382</v>
      </c>
      <c r="F36" s="5" t="s">
        <v>119</v>
      </c>
      <c r="G36" s="5" t="s">
        <v>88</v>
      </c>
      <c r="H36" s="5" t="s">
        <v>119</v>
      </c>
      <c r="I36" s="45" t="s">
        <v>1618</v>
      </c>
      <c r="J36" s="5" t="s">
        <v>7</v>
      </c>
      <c r="K36" s="5" t="s">
        <v>113</v>
      </c>
      <c r="L36" s="6" t="s">
        <v>514</v>
      </c>
      <c r="M36" s="6" t="s">
        <v>469</v>
      </c>
      <c r="N36" s="6" t="s">
        <v>1662</v>
      </c>
      <c r="P36" s="6">
        <v>1</v>
      </c>
      <c r="Q36" s="5"/>
      <c r="R36" s="5"/>
      <c r="S36" s="5"/>
    </row>
    <row r="37" spans="1:44" ht="16.5" customHeight="1" x14ac:dyDescent="0.2">
      <c r="B37" s="6">
        <v>16</v>
      </c>
      <c r="C37" s="6">
        <v>16</v>
      </c>
      <c r="D37" s="45" t="s">
        <v>1387</v>
      </c>
      <c r="E37" s="45" t="s">
        <v>1388</v>
      </c>
      <c r="F37" s="5" t="s">
        <v>124</v>
      </c>
      <c r="G37" s="5" t="s">
        <v>1879</v>
      </c>
      <c r="H37" s="5" t="s">
        <v>124</v>
      </c>
      <c r="I37" s="45" t="s">
        <v>1621</v>
      </c>
      <c r="J37" s="5" t="s">
        <v>7</v>
      </c>
      <c r="K37" s="5" t="s">
        <v>123</v>
      </c>
      <c r="L37" s="6" t="s">
        <v>541</v>
      </c>
      <c r="M37" s="6" t="s">
        <v>469</v>
      </c>
      <c r="N37" s="6" t="s">
        <v>1662</v>
      </c>
      <c r="P37" s="6">
        <v>1</v>
      </c>
      <c r="Q37" s="5"/>
      <c r="R37" s="5"/>
      <c r="S37" s="5"/>
    </row>
    <row r="38" spans="1:44" ht="16.5" customHeight="1" x14ac:dyDescent="0.2">
      <c r="B38" s="6">
        <v>17</v>
      </c>
      <c r="C38" s="6">
        <v>17</v>
      </c>
      <c r="D38" s="45" t="s">
        <v>1355</v>
      </c>
      <c r="E38" s="45" t="s">
        <v>1356</v>
      </c>
      <c r="F38" s="5" t="s">
        <v>128</v>
      </c>
      <c r="G38" s="5" t="s">
        <v>125</v>
      </c>
      <c r="H38" s="5" t="s">
        <v>128</v>
      </c>
      <c r="I38" s="45" t="s">
        <v>1608</v>
      </c>
      <c r="J38" s="5" t="s">
        <v>7</v>
      </c>
      <c r="K38" s="5" t="s">
        <v>127</v>
      </c>
      <c r="L38" s="6" t="s">
        <v>540</v>
      </c>
      <c r="M38" s="6" t="s">
        <v>469</v>
      </c>
      <c r="N38" s="6" t="s">
        <v>1662</v>
      </c>
      <c r="P38" s="6">
        <v>1</v>
      </c>
      <c r="Q38" s="5"/>
      <c r="R38" s="5"/>
      <c r="S38" s="5"/>
    </row>
    <row r="39" spans="1:44" ht="16.5" customHeight="1" x14ac:dyDescent="0.2">
      <c r="B39" s="6">
        <v>15</v>
      </c>
      <c r="C39" s="6">
        <v>15</v>
      </c>
      <c r="D39" s="45" t="s">
        <v>1377</v>
      </c>
      <c r="E39" s="45" t="s">
        <v>1378</v>
      </c>
      <c r="F39" s="5" t="s">
        <v>130</v>
      </c>
      <c r="G39" s="5" t="s">
        <v>1880</v>
      </c>
      <c r="H39" s="5" t="s">
        <v>130</v>
      </c>
      <c r="I39" s="45" t="s">
        <v>1616</v>
      </c>
      <c r="J39" s="5" t="s">
        <v>7</v>
      </c>
      <c r="K39" s="5" t="s">
        <v>123</v>
      </c>
      <c r="L39" s="6" t="s">
        <v>541</v>
      </c>
      <c r="M39" s="6" t="s">
        <v>469</v>
      </c>
      <c r="N39" s="6" t="s">
        <v>1662</v>
      </c>
      <c r="P39" s="6">
        <v>1</v>
      </c>
      <c r="Q39" s="5"/>
      <c r="R39" s="5"/>
      <c r="S39" s="5"/>
    </row>
    <row r="40" spans="1:44" ht="16.5" customHeight="1" x14ac:dyDescent="0.2">
      <c r="B40" s="6">
        <v>22</v>
      </c>
      <c r="C40" s="6">
        <v>22</v>
      </c>
      <c r="D40" s="45" t="s">
        <v>1359</v>
      </c>
      <c r="E40" s="45" t="s">
        <v>1360</v>
      </c>
      <c r="F40" s="5" t="s">
        <v>133</v>
      </c>
      <c r="G40" s="5" t="s">
        <v>131</v>
      </c>
      <c r="H40" s="5" t="s">
        <v>133</v>
      </c>
      <c r="I40" s="45" t="s">
        <v>1610</v>
      </c>
      <c r="J40" s="5" t="s">
        <v>7</v>
      </c>
      <c r="K40" s="5" t="s">
        <v>44</v>
      </c>
      <c r="L40" s="6" t="s">
        <v>540</v>
      </c>
      <c r="M40" s="6" t="s">
        <v>469</v>
      </c>
      <c r="N40" s="6" t="s">
        <v>1662</v>
      </c>
      <c r="P40" s="6">
        <v>1</v>
      </c>
      <c r="Q40" s="5"/>
      <c r="R40" s="5"/>
      <c r="S40" s="5"/>
    </row>
    <row r="41" spans="1:44" ht="16.5" customHeight="1" x14ac:dyDescent="0.2">
      <c r="B41" s="6">
        <v>23</v>
      </c>
      <c r="C41" s="6">
        <v>23</v>
      </c>
      <c r="D41" s="45" t="s">
        <v>1367</v>
      </c>
      <c r="E41" s="45" t="s">
        <v>1368</v>
      </c>
      <c r="F41" s="5" t="s">
        <v>138</v>
      </c>
      <c r="G41" s="5" t="s">
        <v>137</v>
      </c>
      <c r="H41" s="5" t="s">
        <v>138</v>
      </c>
      <c r="I41" s="45" t="s">
        <v>1612</v>
      </c>
      <c r="J41" s="5" t="s">
        <v>7</v>
      </c>
      <c r="K41" s="5" t="s">
        <v>44</v>
      </c>
      <c r="L41" s="6" t="s">
        <v>540</v>
      </c>
      <c r="M41" s="6" t="s">
        <v>469</v>
      </c>
      <c r="N41" s="6" t="s">
        <v>1662</v>
      </c>
      <c r="P41" s="6">
        <v>1</v>
      </c>
      <c r="Q41" s="5"/>
      <c r="R41" s="5"/>
      <c r="S41" s="5"/>
    </row>
    <row r="42" spans="1:44" ht="16.5" customHeight="1" x14ac:dyDescent="0.2">
      <c r="B42" s="6">
        <v>18</v>
      </c>
      <c r="C42" s="6">
        <v>18</v>
      </c>
      <c r="D42" s="45" t="s">
        <v>1371</v>
      </c>
      <c r="E42" s="45" t="s">
        <v>1372</v>
      </c>
      <c r="F42" s="5" t="s">
        <v>140</v>
      </c>
      <c r="G42" s="5" t="s">
        <v>1116</v>
      </c>
      <c r="H42" s="5" t="s">
        <v>140</v>
      </c>
      <c r="I42" s="45" t="s">
        <v>1614</v>
      </c>
      <c r="J42" s="5" t="s">
        <v>7</v>
      </c>
      <c r="K42" s="5" t="s">
        <v>123</v>
      </c>
      <c r="L42" s="6" t="s">
        <v>541</v>
      </c>
      <c r="M42" s="6" t="s">
        <v>469</v>
      </c>
      <c r="N42" s="6" t="s">
        <v>1662</v>
      </c>
      <c r="P42" s="6">
        <v>1</v>
      </c>
      <c r="Q42" s="5"/>
      <c r="R42" s="5"/>
      <c r="S42" s="5"/>
    </row>
    <row r="43" spans="1:44" s="4" customFormat="1" ht="16.5" customHeight="1" x14ac:dyDescent="0.2">
      <c r="A43"/>
      <c r="B43" s="6">
        <v>21</v>
      </c>
      <c r="C43" s="6">
        <v>21</v>
      </c>
      <c r="D43" s="45" t="s">
        <v>1383</v>
      </c>
      <c r="E43" s="45" t="s">
        <v>1384</v>
      </c>
      <c r="F43" s="5" t="s">
        <v>142</v>
      </c>
      <c r="G43" s="5" t="s">
        <v>1117</v>
      </c>
      <c r="H43" s="5" t="s">
        <v>142</v>
      </c>
      <c r="I43" s="45" t="s">
        <v>1619</v>
      </c>
      <c r="J43" s="5" t="s">
        <v>7</v>
      </c>
      <c r="K43" s="5" t="s">
        <v>48</v>
      </c>
      <c r="L43" s="6" t="s">
        <v>541</v>
      </c>
      <c r="M43" s="6" t="s">
        <v>469</v>
      </c>
      <c r="N43" s="6" t="s">
        <v>1662</v>
      </c>
      <c r="O43" s="6"/>
      <c r="P43" s="6">
        <v>1</v>
      </c>
      <c r="Q43" s="5"/>
      <c r="R43" s="5"/>
      <c r="S43" s="5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s="4" customFormat="1" ht="16.5" customHeight="1" x14ac:dyDescent="0.2">
      <c r="A44"/>
      <c r="B44" s="6">
        <v>19</v>
      </c>
      <c r="C44" s="6">
        <v>19</v>
      </c>
      <c r="D44" s="45" t="s">
        <v>1369</v>
      </c>
      <c r="E44" s="45" t="s">
        <v>1370</v>
      </c>
      <c r="F44" s="5" t="s">
        <v>144</v>
      </c>
      <c r="G44" s="5" t="s">
        <v>1118</v>
      </c>
      <c r="H44" s="5" t="s">
        <v>144</v>
      </c>
      <c r="I44" s="45" t="s">
        <v>1613</v>
      </c>
      <c r="J44" s="5" t="s">
        <v>7</v>
      </c>
      <c r="K44" s="5" t="s">
        <v>135</v>
      </c>
      <c r="L44" s="6" t="s">
        <v>541</v>
      </c>
      <c r="M44" s="6" t="s">
        <v>469</v>
      </c>
      <c r="N44" s="6" t="s">
        <v>1662</v>
      </c>
      <c r="O44" s="6"/>
      <c r="P44" s="6">
        <v>1</v>
      </c>
      <c r="Q44" s="5"/>
      <c r="R44" s="5"/>
      <c r="S44" s="5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s="4" customFormat="1" ht="16.5" customHeight="1" x14ac:dyDescent="0.2">
      <c r="A45"/>
      <c r="B45" s="6">
        <v>20</v>
      </c>
      <c r="C45" s="6">
        <v>20</v>
      </c>
      <c r="D45" s="45" t="s">
        <v>1379</v>
      </c>
      <c r="E45" s="45" t="s">
        <v>1380</v>
      </c>
      <c r="F45" s="5" t="s">
        <v>149</v>
      </c>
      <c r="G45" s="5" t="s">
        <v>1119</v>
      </c>
      <c r="H45" s="5" t="s">
        <v>149</v>
      </c>
      <c r="I45" s="45" t="s">
        <v>1617</v>
      </c>
      <c r="J45" s="5" t="s">
        <v>7</v>
      </c>
      <c r="K45" s="5" t="s">
        <v>135</v>
      </c>
      <c r="L45" s="6" t="s">
        <v>541</v>
      </c>
      <c r="M45" s="6" t="s">
        <v>469</v>
      </c>
      <c r="N45" s="6" t="s">
        <v>1662</v>
      </c>
      <c r="O45" s="6"/>
      <c r="P45" s="6">
        <v>1</v>
      </c>
      <c r="Q45" s="5"/>
      <c r="R45" s="5"/>
      <c r="S45" s="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s="4" customFormat="1" ht="16.5" customHeight="1" x14ac:dyDescent="0.2">
      <c r="A46"/>
      <c r="B46" s="6">
        <v>28</v>
      </c>
      <c r="C46" s="6">
        <v>28</v>
      </c>
      <c r="D46" s="45" t="s">
        <v>1361</v>
      </c>
      <c r="E46" s="45" t="s">
        <v>1362</v>
      </c>
      <c r="F46" s="5" t="s">
        <v>151</v>
      </c>
      <c r="G46" s="5" t="s">
        <v>150</v>
      </c>
      <c r="H46" s="5" t="s">
        <v>151</v>
      </c>
      <c r="I46" s="45" t="s">
        <v>1611</v>
      </c>
      <c r="J46" s="5" t="s">
        <v>7</v>
      </c>
      <c r="K46" s="5" t="s">
        <v>44</v>
      </c>
      <c r="L46" s="6" t="s">
        <v>540</v>
      </c>
      <c r="M46" s="6" t="s">
        <v>469</v>
      </c>
      <c r="N46" s="6" t="s">
        <v>1662</v>
      </c>
      <c r="O46" s="6"/>
      <c r="P46" s="6">
        <v>1</v>
      </c>
      <c r="Q46" s="5"/>
      <c r="R46" s="5"/>
      <c r="S46" s="5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6.5" customHeight="1" x14ac:dyDescent="0.2">
      <c r="B47" s="6">
        <v>26</v>
      </c>
      <c r="C47" s="6">
        <v>26</v>
      </c>
      <c r="D47" s="45" t="s">
        <v>1373</v>
      </c>
      <c r="E47" s="45" t="s">
        <v>1374</v>
      </c>
      <c r="F47" s="5" t="s">
        <v>153</v>
      </c>
      <c r="G47" s="5" t="s">
        <v>1881</v>
      </c>
      <c r="H47" s="5" t="s">
        <v>153</v>
      </c>
      <c r="I47" s="45" t="s">
        <v>1615</v>
      </c>
      <c r="J47" s="5" t="s">
        <v>7</v>
      </c>
      <c r="K47" s="5" t="s">
        <v>123</v>
      </c>
      <c r="L47" s="6" t="s">
        <v>541</v>
      </c>
      <c r="M47" s="6" t="s">
        <v>469</v>
      </c>
      <c r="N47" s="6" t="s">
        <v>1662</v>
      </c>
      <c r="P47" s="6">
        <v>1</v>
      </c>
      <c r="Q47" s="5"/>
      <c r="R47" s="5"/>
      <c r="S47" s="5"/>
    </row>
    <row r="48" spans="1:44" ht="16.5" customHeight="1" x14ac:dyDescent="0.2">
      <c r="B48" s="6">
        <v>5</v>
      </c>
      <c r="C48" s="6">
        <v>5</v>
      </c>
      <c r="D48" s="45" t="s">
        <v>1349</v>
      </c>
      <c r="E48" s="45" t="s">
        <v>1350</v>
      </c>
      <c r="F48" s="5" t="s">
        <v>155</v>
      </c>
      <c r="G48" s="5" t="s">
        <v>154</v>
      </c>
      <c r="H48" s="5" t="s">
        <v>155</v>
      </c>
      <c r="I48" s="45" t="s">
        <v>1607</v>
      </c>
      <c r="J48" s="5" t="s">
        <v>7</v>
      </c>
      <c r="K48" s="5" t="s">
        <v>13</v>
      </c>
      <c r="L48" s="6" t="s">
        <v>514</v>
      </c>
      <c r="M48" s="6" t="s">
        <v>469</v>
      </c>
      <c r="N48" s="6" t="s">
        <v>1662</v>
      </c>
      <c r="P48" s="6">
        <v>1</v>
      </c>
      <c r="Q48" s="5"/>
      <c r="R48" s="5"/>
      <c r="S48" s="5"/>
    </row>
    <row r="49" spans="1:44" ht="16.5" customHeight="1" x14ac:dyDescent="0.2">
      <c r="B49" s="6">
        <v>30</v>
      </c>
      <c r="C49" s="6">
        <v>30</v>
      </c>
      <c r="D49" s="45" t="s">
        <v>1391</v>
      </c>
      <c r="E49" s="45" t="s">
        <v>1392</v>
      </c>
      <c r="F49" s="5" t="s">
        <v>157</v>
      </c>
      <c r="G49" s="5" t="s">
        <v>156</v>
      </c>
      <c r="H49" s="5" t="s">
        <v>157</v>
      </c>
      <c r="I49" s="45" t="s">
        <v>1623</v>
      </c>
      <c r="J49" s="5" t="s">
        <v>7</v>
      </c>
      <c r="K49" s="5" t="s">
        <v>53</v>
      </c>
      <c r="L49" s="6" t="s">
        <v>514</v>
      </c>
      <c r="M49" s="6" t="s">
        <v>469</v>
      </c>
      <c r="N49" s="6" t="s">
        <v>1662</v>
      </c>
      <c r="P49" s="6">
        <v>1</v>
      </c>
      <c r="Q49" s="5"/>
      <c r="R49" s="5"/>
      <c r="S49" s="5"/>
    </row>
    <row r="50" spans="1:44" ht="16.5" customHeight="1" x14ac:dyDescent="0.2">
      <c r="B50" s="6">
        <v>51</v>
      </c>
      <c r="C50" s="6">
        <v>51</v>
      </c>
      <c r="D50" s="45" t="s">
        <v>1437</v>
      </c>
      <c r="E50" s="45" t="s">
        <v>1438</v>
      </c>
      <c r="F50" s="5" t="s">
        <v>160</v>
      </c>
      <c r="G50" s="5" t="s">
        <v>158</v>
      </c>
      <c r="H50" s="5" t="s">
        <v>160</v>
      </c>
      <c r="I50" s="45" t="s">
        <v>1638</v>
      </c>
      <c r="J50" s="5" t="s">
        <v>7</v>
      </c>
      <c r="K50" s="5" t="s">
        <v>159</v>
      </c>
      <c r="L50" s="6" t="s">
        <v>514</v>
      </c>
      <c r="M50" s="6" t="s">
        <v>469</v>
      </c>
      <c r="N50" s="6" t="s">
        <v>1662</v>
      </c>
      <c r="P50" s="6">
        <v>1</v>
      </c>
      <c r="Q50" s="5"/>
      <c r="R50" s="5"/>
      <c r="S50" s="5"/>
    </row>
    <row r="51" spans="1:44" ht="16.5" customHeight="1" x14ac:dyDescent="0.2">
      <c r="B51" s="6">
        <v>31</v>
      </c>
      <c r="C51" s="6">
        <v>31</v>
      </c>
      <c r="D51" s="45" t="s">
        <v>1393</v>
      </c>
      <c r="E51" s="45" t="s">
        <v>1394</v>
      </c>
      <c r="F51" s="5" t="s">
        <v>162</v>
      </c>
      <c r="G51" s="5" t="s">
        <v>161</v>
      </c>
      <c r="H51" s="5" t="s">
        <v>162</v>
      </c>
      <c r="I51" s="45" t="s">
        <v>1624</v>
      </c>
      <c r="J51" s="5" t="s">
        <v>7</v>
      </c>
      <c r="K51" s="5" t="s">
        <v>53</v>
      </c>
      <c r="L51" s="6" t="s">
        <v>514</v>
      </c>
      <c r="M51" s="6" t="s">
        <v>469</v>
      </c>
      <c r="N51" s="6" t="s">
        <v>1662</v>
      </c>
      <c r="P51" s="6">
        <v>1</v>
      </c>
      <c r="Q51" s="5"/>
      <c r="R51" s="5"/>
      <c r="S51" s="5"/>
    </row>
    <row r="52" spans="1:44" s="4" customFormat="1" ht="16.5" customHeight="1" x14ac:dyDescent="0.2">
      <c r="A52"/>
      <c r="B52" s="6">
        <v>32</v>
      </c>
      <c r="C52" s="6">
        <v>32</v>
      </c>
      <c r="D52" s="45" t="s">
        <v>1403</v>
      </c>
      <c r="E52" s="45" t="s">
        <v>1404</v>
      </c>
      <c r="F52" s="5" t="s">
        <v>164</v>
      </c>
      <c r="G52" s="5" t="s">
        <v>163</v>
      </c>
      <c r="H52" s="5" t="s">
        <v>164</v>
      </c>
      <c r="I52" s="45" t="s">
        <v>1628</v>
      </c>
      <c r="J52" s="5" t="s">
        <v>7</v>
      </c>
      <c r="K52" s="5" t="s">
        <v>28</v>
      </c>
      <c r="L52" s="6" t="s">
        <v>540</v>
      </c>
      <c r="M52" s="6" t="s">
        <v>469</v>
      </c>
      <c r="N52" s="6" t="s">
        <v>1662</v>
      </c>
      <c r="O52" s="6"/>
      <c r="P52" s="6">
        <v>1</v>
      </c>
      <c r="Q52" s="5"/>
      <c r="R52" s="5"/>
      <c r="S52" s="5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s="4" customFormat="1" ht="16.5" customHeight="1" x14ac:dyDescent="0.2">
      <c r="A53"/>
      <c r="B53" s="6">
        <v>35</v>
      </c>
      <c r="C53" s="6">
        <v>35</v>
      </c>
      <c r="D53" s="45" t="s">
        <v>1401</v>
      </c>
      <c r="E53" s="45" t="s">
        <v>1402</v>
      </c>
      <c r="F53" s="5" t="s">
        <v>166</v>
      </c>
      <c r="G53" s="5" t="s">
        <v>165</v>
      </c>
      <c r="H53" s="5" t="s">
        <v>166</v>
      </c>
      <c r="I53" s="45" t="s">
        <v>1627</v>
      </c>
      <c r="J53" s="5" t="s">
        <v>7</v>
      </c>
      <c r="K53" s="5" t="s">
        <v>44</v>
      </c>
      <c r="L53" s="6" t="s">
        <v>540</v>
      </c>
      <c r="M53" s="6" t="s">
        <v>469</v>
      </c>
      <c r="N53" s="6" t="s">
        <v>1662</v>
      </c>
      <c r="O53" s="6"/>
      <c r="P53" s="6">
        <v>1</v>
      </c>
      <c r="Q53" s="5"/>
      <c r="R53" s="5"/>
      <c r="S53" s="5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s="4" customFormat="1" ht="16.5" customHeight="1" x14ac:dyDescent="0.2">
      <c r="A54"/>
      <c r="B54" s="6">
        <v>34</v>
      </c>
      <c r="C54" s="6">
        <v>34</v>
      </c>
      <c r="D54" s="45" t="s">
        <v>1397</v>
      </c>
      <c r="E54" s="45" t="s">
        <v>1398</v>
      </c>
      <c r="F54" s="5" t="s">
        <v>170</v>
      </c>
      <c r="G54" s="5" t="s">
        <v>169</v>
      </c>
      <c r="H54" s="5" t="s">
        <v>170</v>
      </c>
      <c r="I54" s="45" t="s">
        <v>1626</v>
      </c>
      <c r="J54" s="5" t="s">
        <v>7</v>
      </c>
      <c r="K54" s="5" t="s">
        <v>44</v>
      </c>
      <c r="L54" s="6" t="s">
        <v>540</v>
      </c>
      <c r="M54" s="6" t="s">
        <v>469</v>
      </c>
      <c r="N54" s="6" t="s">
        <v>1662</v>
      </c>
      <c r="O54" s="6"/>
      <c r="P54" s="6">
        <v>1</v>
      </c>
      <c r="Q54" s="5"/>
      <c r="R54" s="5"/>
      <c r="S54" s="5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s="4" customFormat="1" ht="16.5" customHeight="1" x14ac:dyDescent="0.2">
      <c r="A55"/>
      <c r="B55" s="6">
        <v>36</v>
      </c>
      <c r="C55" s="6">
        <v>36</v>
      </c>
      <c r="D55" s="45" t="s">
        <v>1395</v>
      </c>
      <c r="E55" s="45" t="s">
        <v>1396</v>
      </c>
      <c r="F55" s="5" t="s">
        <v>174</v>
      </c>
      <c r="G55" s="5" t="s">
        <v>1853</v>
      </c>
      <c r="H55" s="5" t="s">
        <v>174</v>
      </c>
      <c r="I55" s="45" t="s">
        <v>1625</v>
      </c>
      <c r="J55" s="5" t="s">
        <v>7</v>
      </c>
      <c r="K55" s="5" t="s">
        <v>53</v>
      </c>
      <c r="L55" s="6" t="s">
        <v>514</v>
      </c>
      <c r="M55" s="6" t="s">
        <v>469</v>
      </c>
      <c r="N55" s="6" t="s">
        <v>1662</v>
      </c>
      <c r="O55" s="6"/>
      <c r="P55" s="6">
        <v>1</v>
      </c>
      <c r="Q55" s="5"/>
      <c r="R55" s="5"/>
      <c r="S55" s="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ht="16.5" customHeight="1" x14ac:dyDescent="0.2">
      <c r="B56" s="6">
        <v>40</v>
      </c>
      <c r="C56" s="6">
        <v>40</v>
      </c>
      <c r="D56" s="45" t="s">
        <v>1409</v>
      </c>
      <c r="E56" s="45" t="s">
        <v>1410</v>
      </c>
      <c r="F56" s="5" t="s">
        <v>181</v>
      </c>
      <c r="G56" s="5" t="s">
        <v>179</v>
      </c>
      <c r="H56" s="5" t="s">
        <v>181</v>
      </c>
      <c r="I56" s="45" t="s">
        <v>1630</v>
      </c>
      <c r="J56" s="5" t="s">
        <v>7</v>
      </c>
      <c r="K56" s="5" t="s">
        <v>180</v>
      </c>
      <c r="L56" s="6" t="s">
        <v>514</v>
      </c>
      <c r="M56" s="6" t="s">
        <v>469</v>
      </c>
      <c r="N56" s="6" t="s">
        <v>1662</v>
      </c>
      <c r="P56" s="6">
        <v>1</v>
      </c>
      <c r="Q56" s="5"/>
      <c r="R56" s="5"/>
      <c r="S56" s="5"/>
    </row>
    <row r="57" spans="1:44" ht="16.5" customHeight="1" x14ac:dyDescent="0.2">
      <c r="B57" s="6">
        <v>39</v>
      </c>
      <c r="C57" s="6">
        <v>39</v>
      </c>
      <c r="D57" s="45" t="s">
        <v>1411</v>
      </c>
      <c r="E57" s="45" t="s">
        <v>1412</v>
      </c>
      <c r="F57" s="5" t="s">
        <v>183</v>
      </c>
      <c r="G57" s="5" t="s">
        <v>182</v>
      </c>
      <c r="H57" s="5" t="s">
        <v>183</v>
      </c>
      <c r="I57" s="45" t="s">
        <v>1631</v>
      </c>
      <c r="J57" s="5" t="s">
        <v>7</v>
      </c>
      <c r="K57" s="5" t="s">
        <v>180</v>
      </c>
      <c r="L57" s="6" t="s">
        <v>514</v>
      </c>
      <c r="M57" s="6" t="s">
        <v>469</v>
      </c>
      <c r="N57" s="6" t="s">
        <v>1662</v>
      </c>
      <c r="P57" s="6">
        <v>1</v>
      </c>
      <c r="Q57" s="5"/>
      <c r="R57" s="5"/>
      <c r="S57" s="5"/>
    </row>
    <row r="58" spans="1:44" ht="16.5" customHeight="1" x14ac:dyDescent="0.2">
      <c r="B58" s="6">
        <v>37</v>
      </c>
      <c r="C58" s="6">
        <v>37</v>
      </c>
      <c r="D58" s="45" t="s">
        <v>1415</v>
      </c>
      <c r="E58" s="45" t="s">
        <v>1416</v>
      </c>
      <c r="F58" s="5" t="s">
        <v>185</v>
      </c>
      <c r="G58" s="5" t="s">
        <v>715</v>
      </c>
      <c r="H58" s="5" t="s">
        <v>185</v>
      </c>
      <c r="I58" s="45" t="s">
        <v>1632</v>
      </c>
      <c r="J58" s="5" t="s">
        <v>7</v>
      </c>
      <c r="K58" s="5" t="s">
        <v>184</v>
      </c>
      <c r="L58" s="6" t="s">
        <v>514</v>
      </c>
      <c r="M58" s="6" t="s">
        <v>469</v>
      </c>
      <c r="N58" s="6" t="s">
        <v>1662</v>
      </c>
      <c r="P58" s="6">
        <v>1</v>
      </c>
      <c r="Q58" s="5"/>
      <c r="R58" s="5"/>
      <c r="S58" s="5"/>
    </row>
    <row r="59" spans="1:44" ht="16.5" customHeight="1" x14ac:dyDescent="0.2">
      <c r="B59" s="6">
        <v>41</v>
      </c>
      <c r="C59" s="6">
        <v>41</v>
      </c>
      <c r="D59" s="45" t="s">
        <v>1405</v>
      </c>
      <c r="E59" s="45" t="s">
        <v>1406</v>
      </c>
      <c r="F59" s="5" t="s">
        <v>193</v>
      </c>
      <c r="G59" s="5" t="s">
        <v>723</v>
      </c>
      <c r="H59" s="5" t="s">
        <v>193</v>
      </c>
      <c r="I59" s="45" t="s">
        <v>1629</v>
      </c>
      <c r="J59" s="5" t="s">
        <v>7</v>
      </c>
      <c r="K59" s="5" t="s">
        <v>28</v>
      </c>
      <c r="L59" s="6" t="s">
        <v>540</v>
      </c>
      <c r="M59" s="6" t="s">
        <v>469</v>
      </c>
      <c r="N59" s="6" t="s">
        <v>1662</v>
      </c>
      <c r="P59" s="6">
        <v>1</v>
      </c>
      <c r="Q59" s="5"/>
      <c r="R59" s="5"/>
      <c r="S59" s="5"/>
    </row>
    <row r="60" spans="1:44" ht="16.5" customHeight="1" x14ac:dyDescent="0.2">
      <c r="B60" s="6">
        <v>42</v>
      </c>
      <c r="C60" s="6">
        <v>42</v>
      </c>
      <c r="D60" s="45" t="s">
        <v>1419</v>
      </c>
      <c r="E60" s="45" t="s">
        <v>1420</v>
      </c>
      <c r="F60" s="5" t="s">
        <v>201</v>
      </c>
      <c r="G60" s="5" t="s">
        <v>729</v>
      </c>
      <c r="H60" s="5" t="s">
        <v>201</v>
      </c>
      <c r="I60" s="45" t="s">
        <v>1633</v>
      </c>
      <c r="J60" s="5" t="s">
        <v>7</v>
      </c>
      <c r="K60" s="5" t="s">
        <v>28</v>
      </c>
      <c r="L60" s="6" t="s">
        <v>540</v>
      </c>
      <c r="M60" s="6" t="s">
        <v>469</v>
      </c>
      <c r="N60" s="6" t="s">
        <v>1662</v>
      </c>
      <c r="P60" s="6">
        <v>1</v>
      </c>
      <c r="Q60" s="5"/>
      <c r="R60" s="5"/>
      <c r="S60" s="5"/>
    </row>
    <row r="61" spans="1:44" ht="16.5" customHeight="1" x14ac:dyDescent="0.2">
      <c r="B61" s="6">
        <v>43</v>
      </c>
      <c r="C61" s="6">
        <v>43</v>
      </c>
      <c r="D61" s="45" t="s">
        <v>1421</v>
      </c>
      <c r="E61" s="45" t="s">
        <v>1422</v>
      </c>
      <c r="F61" s="5" t="s">
        <v>203</v>
      </c>
      <c r="G61" s="5" t="s">
        <v>1120</v>
      </c>
      <c r="H61" s="5" t="s">
        <v>203</v>
      </c>
      <c r="I61" s="45" t="s">
        <v>1634</v>
      </c>
      <c r="J61" s="5" t="s">
        <v>7</v>
      </c>
      <c r="K61" s="5" t="s">
        <v>28</v>
      </c>
      <c r="L61" s="6" t="s">
        <v>540</v>
      </c>
      <c r="M61" s="6" t="s">
        <v>469</v>
      </c>
      <c r="N61" s="6" t="s">
        <v>1662</v>
      </c>
      <c r="P61" s="6">
        <v>1</v>
      </c>
      <c r="Q61" s="5"/>
      <c r="R61" s="5"/>
      <c r="S61" s="5"/>
    </row>
    <row r="62" spans="1:44" ht="16.5" customHeight="1" x14ac:dyDescent="0.2">
      <c r="B62" s="6">
        <v>45</v>
      </c>
      <c r="C62" s="6">
        <v>45</v>
      </c>
      <c r="D62" s="45" t="s">
        <v>1429</v>
      </c>
      <c r="E62" s="45" t="s">
        <v>1430</v>
      </c>
      <c r="F62" s="5" t="s">
        <v>205</v>
      </c>
      <c r="G62" s="5" t="s">
        <v>732</v>
      </c>
      <c r="H62" s="5" t="s">
        <v>205</v>
      </c>
      <c r="I62" s="45" t="s">
        <v>1637</v>
      </c>
      <c r="J62" s="5" t="s">
        <v>7</v>
      </c>
      <c r="K62" s="5" t="s">
        <v>28</v>
      </c>
      <c r="L62" s="6" t="s">
        <v>540</v>
      </c>
      <c r="M62" s="6" t="s">
        <v>469</v>
      </c>
      <c r="N62" s="6" t="s">
        <v>1662</v>
      </c>
      <c r="P62" s="6">
        <v>1</v>
      </c>
      <c r="Q62" s="5"/>
      <c r="R62" s="5"/>
      <c r="S62" s="5"/>
    </row>
    <row r="63" spans="1:44" ht="16.5" customHeight="1" x14ac:dyDescent="0.2">
      <c r="B63" s="6">
        <v>46</v>
      </c>
      <c r="C63" s="6">
        <v>46</v>
      </c>
      <c r="D63" s="45" t="s">
        <v>1423</v>
      </c>
      <c r="E63" s="45" t="s">
        <v>1424</v>
      </c>
      <c r="F63" s="5" t="s">
        <v>207</v>
      </c>
      <c r="G63" s="5" t="s">
        <v>206</v>
      </c>
      <c r="H63" s="5" t="s">
        <v>207</v>
      </c>
      <c r="I63" s="45" t="s">
        <v>1635</v>
      </c>
      <c r="J63" s="5" t="s">
        <v>7</v>
      </c>
      <c r="K63" s="5" t="s">
        <v>28</v>
      </c>
      <c r="L63" s="6" t="s">
        <v>540</v>
      </c>
      <c r="M63" s="6" t="s">
        <v>469</v>
      </c>
      <c r="N63" s="6" t="s">
        <v>1662</v>
      </c>
      <c r="P63" s="6">
        <v>1</v>
      </c>
      <c r="Q63" s="5"/>
      <c r="R63" s="5"/>
      <c r="S63" s="5"/>
    </row>
    <row r="64" spans="1:44" ht="16.5" customHeight="1" x14ac:dyDescent="0.2">
      <c r="B64" s="6">
        <f>600+Tabla3[[#This Row],[interno]]</f>
        <v>620</v>
      </c>
      <c r="C64" s="6">
        <v>20</v>
      </c>
      <c r="D64" s="85">
        <v>3331157108</v>
      </c>
      <c r="E64" s="51" t="s">
        <v>654</v>
      </c>
      <c r="F64" s="45" t="s">
        <v>210</v>
      </c>
      <c r="G64" s="5" t="s">
        <v>656</v>
      </c>
      <c r="H64" s="5" t="s">
        <v>210</v>
      </c>
      <c r="I64" s="6" t="s">
        <v>210</v>
      </c>
      <c r="J64" s="5" t="s">
        <v>7</v>
      </c>
      <c r="K64" s="5" t="s">
        <v>1121</v>
      </c>
      <c r="L64" s="6" t="s">
        <v>514</v>
      </c>
      <c r="M64" s="6" t="s">
        <v>469</v>
      </c>
      <c r="N64" s="49" t="s">
        <v>1665</v>
      </c>
      <c r="O64" s="49"/>
      <c r="P64" s="6">
        <v>1</v>
      </c>
      <c r="Q64" s="5"/>
      <c r="R64" s="5"/>
      <c r="S64" s="5"/>
    </row>
    <row r="65" spans="1:44" ht="16.5" customHeight="1" x14ac:dyDescent="0.2">
      <c r="B65" s="6">
        <v>44</v>
      </c>
      <c r="C65" s="6">
        <v>44</v>
      </c>
      <c r="D65" s="45" t="s">
        <v>1427</v>
      </c>
      <c r="E65" s="45" t="s">
        <v>1428</v>
      </c>
      <c r="F65" s="5" t="s">
        <v>212</v>
      </c>
      <c r="G65" s="5" t="s">
        <v>731</v>
      </c>
      <c r="H65" s="5" t="s">
        <v>212</v>
      </c>
      <c r="I65" s="45" t="s">
        <v>1636</v>
      </c>
      <c r="J65" s="5" t="s">
        <v>7</v>
      </c>
      <c r="K65" s="5" t="s">
        <v>28</v>
      </c>
      <c r="L65" s="6" t="s">
        <v>540</v>
      </c>
      <c r="M65" s="6" t="s">
        <v>469</v>
      </c>
      <c r="N65" s="6" t="s">
        <v>1662</v>
      </c>
      <c r="P65" s="6">
        <v>1</v>
      </c>
      <c r="Q65" s="5"/>
      <c r="R65" s="5"/>
      <c r="S65" s="5"/>
    </row>
    <row r="66" spans="1:44" ht="16.5" customHeight="1" x14ac:dyDescent="0.2">
      <c r="B66" s="6">
        <v>113</v>
      </c>
      <c r="C66" s="6">
        <v>113</v>
      </c>
      <c r="D66" s="45" t="s">
        <v>1514</v>
      </c>
      <c r="E66" s="45" t="s">
        <v>1515</v>
      </c>
      <c r="F66" s="5" t="s">
        <v>217</v>
      </c>
      <c r="G66" s="5" t="s">
        <v>1122</v>
      </c>
      <c r="H66" s="5" t="s">
        <v>217</v>
      </c>
      <c r="I66" s="45" t="s">
        <v>1646</v>
      </c>
      <c r="J66" s="5" t="s">
        <v>7</v>
      </c>
      <c r="K66" s="5" t="s">
        <v>886</v>
      </c>
      <c r="L66" s="6" t="s">
        <v>541</v>
      </c>
      <c r="M66" s="6" t="s">
        <v>469</v>
      </c>
      <c r="N66" s="6" t="s">
        <v>1662</v>
      </c>
      <c r="P66" s="6">
        <v>1</v>
      </c>
      <c r="Q66" s="5"/>
      <c r="R66" s="5"/>
      <c r="S66" s="5"/>
    </row>
    <row r="67" spans="1:44" ht="16.5" customHeight="1" x14ac:dyDescent="0.2">
      <c r="B67" s="6">
        <v>713</v>
      </c>
      <c r="C67" s="6">
        <v>13</v>
      </c>
      <c r="D67" s="62" t="s">
        <v>2592</v>
      </c>
      <c r="E67" s="62" t="s">
        <v>2596</v>
      </c>
      <c r="F67" s="65" t="s">
        <v>2594</v>
      </c>
      <c r="G67" s="64" t="s">
        <v>2593</v>
      </c>
      <c r="H67" s="64" t="s">
        <v>462</v>
      </c>
      <c r="I67" s="66" t="s">
        <v>2595</v>
      </c>
      <c r="J67" s="64" t="s">
        <v>434</v>
      </c>
      <c r="K67" s="64" t="s">
        <v>132</v>
      </c>
      <c r="L67" s="63" t="s">
        <v>540</v>
      </c>
      <c r="M67" s="63" t="s">
        <v>469</v>
      </c>
      <c r="N67" s="63" t="s">
        <v>1666</v>
      </c>
      <c r="P67" s="6"/>
      <c r="Q67" s="5"/>
      <c r="R67" s="5"/>
      <c r="S67" s="5"/>
    </row>
    <row r="68" spans="1:44" ht="16.5" customHeight="1" x14ac:dyDescent="0.2">
      <c r="B68" s="6">
        <v>711</v>
      </c>
      <c r="C68" s="6">
        <v>11</v>
      </c>
      <c r="D68" s="33" t="s">
        <v>515</v>
      </c>
      <c r="E68" s="33" t="s">
        <v>2132</v>
      </c>
      <c r="F68" s="5" t="s">
        <v>459</v>
      </c>
      <c r="G68" s="5" t="s">
        <v>1123</v>
      </c>
      <c r="H68" s="5" t="s">
        <v>459</v>
      </c>
      <c r="I68" s="52" t="s">
        <v>2158</v>
      </c>
      <c r="J68" s="5" t="s">
        <v>434</v>
      </c>
      <c r="K68" s="5" t="s">
        <v>886</v>
      </c>
      <c r="L68" s="6" t="s">
        <v>541</v>
      </c>
      <c r="M68" s="6" t="s">
        <v>469</v>
      </c>
      <c r="N68" s="6" t="s">
        <v>1666</v>
      </c>
      <c r="P68" s="6">
        <v>1</v>
      </c>
      <c r="Q68" s="5"/>
      <c r="R68" s="5"/>
      <c r="S68" s="5"/>
    </row>
    <row r="69" spans="1:44" s="4" customFormat="1" ht="16.5" customHeight="1" x14ac:dyDescent="0.2">
      <c r="A69"/>
      <c r="B69" s="6">
        <v>712</v>
      </c>
      <c r="C69" s="6">
        <v>12</v>
      </c>
      <c r="D69" s="33" t="s">
        <v>516</v>
      </c>
      <c r="E69" s="33" t="s">
        <v>2133</v>
      </c>
      <c r="F69" s="5" t="s">
        <v>435</v>
      </c>
      <c r="G69" s="5" t="s">
        <v>894</v>
      </c>
      <c r="H69" s="5" t="s">
        <v>435</v>
      </c>
      <c r="I69" s="52" t="s">
        <v>2159</v>
      </c>
      <c r="J69" s="5" t="s">
        <v>434</v>
      </c>
      <c r="K69" s="5" t="s">
        <v>41</v>
      </c>
      <c r="L69" s="6" t="s">
        <v>541</v>
      </c>
      <c r="M69" s="6" t="s">
        <v>469</v>
      </c>
      <c r="N69" s="6" t="s">
        <v>1666</v>
      </c>
      <c r="O69" s="6"/>
      <c r="P69" s="6">
        <v>1</v>
      </c>
      <c r="Q69" s="5"/>
      <c r="R69" s="5"/>
      <c r="S69" s="5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s="4" customFormat="1" ht="16.5" customHeight="1" x14ac:dyDescent="0.2">
      <c r="A70"/>
      <c r="B70" s="6">
        <v>715</v>
      </c>
      <c r="C70" s="6">
        <v>15</v>
      </c>
      <c r="D70" s="33" t="s">
        <v>517</v>
      </c>
      <c r="E70" s="33" t="s">
        <v>2135</v>
      </c>
      <c r="F70" s="5" t="s">
        <v>437</v>
      </c>
      <c r="G70" s="59" t="s">
        <v>2597</v>
      </c>
      <c r="H70" s="5" t="s">
        <v>437</v>
      </c>
      <c r="I70" s="52" t="s">
        <v>1971</v>
      </c>
      <c r="J70" s="5" t="s">
        <v>434</v>
      </c>
      <c r="K70" s="5" t="s">
        <v>94</v>
      </c>
      <c r="L70" s="6" t="s">
        <v>514</v>
      </c>
      <c r="M70" s="6" t="s">
        <v>469</v>
      </c>
      <c r="N70" s="6" t="s">
        <v>1666</v>
      </c>
      <c r="O70" s="6"/>
      <c r="P70" s="6">
        <v>1</v>
      </c>
      <c r="Q70" s="5"/>
      <c r="R70" s="5"/>
      <c r="S70" s="5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ht="16.5" customHeight="1" x14ac:dyDescent="0.2">
      <c r="B71" s="6">
        <v>55</v>
      </c>
      <c r="C71" s="6">
        <v>55</v>
      </c>
      <c r="D71" s="45" t="s">
        <v>1449</v>
      </c>
      <c r="E71" s="45" t="s">
        <v>1450</v>
      </c>
      <c r="F71" s="45" t="s">
        <v>455</v>
      </c>
      <c r="G71" s="5" t="s">
        <v>1124</v>
      </c>
      <c r="H71" s="5" t="s">
        <v>455</v>
      </c>
      <c r="I71" s="45" t="s">
        <v>1125</v>
      </c>
      <c r="J71" s="5" t="s">
        <v>434</v>
      </c>
      <c r="K71" s="5" t="s">
        <v>886</v>
      </c>
      <c r="L71" s="6" t="s">
        <v>541</v>
      </c>
      <c r="M71" s="6" t="s">
        <v>469</v>
      </c>
      <c r="N71" s="6" t="s">
        <v>1662</v>
      </c>
      <c r="P71" s="6">
        <v>1</v>
      </c>
      <c r="Q71" s="5"/>
      <c r="R71" s="5"/>
      <c r="S71" s="5"/>
    </row>
    <row r="72" spans="1:44" ht="16.5" customHeight="1" x14ac:dyDescent="0.2">
      <c r="B72" s="6">
        <v>714</v>
      </c>
      <c r="C72" s="6">
        <v>14</v>
      </c>
      <c r="D72" s="33" t="s">
        <v>518</v>
      </c>
      <c r="E72" s="33" t="s">
        <v>2134</v>
      </c>
      <c r="F72" s="5" t="s">
        <v>439</v>
      </c>
      <c r="G72" s="5" t="s">
        <v>895</v>
      </c>
      <c r="H72" s="5" t="s">
        <v>439</v>
      </c>
      <c r="I72" s="52" t="s">
        <v>2160</v>
      </c>
      <c r="J72" s="5" t="s">
        <v>434</v>
      </c>
      <c r="K72" s="5" t="s">
        <v>41</v>
      </c>
      <c r="L72" s="6" t="s">
        <v>541</v>
      </c>
      <c r="M72" s="6" t="s">
        <v>469</v>
      </c>
      <c r="N72" s="6" t="s">
        <v>1666</v>
      </c>
      <c r="P72" s="6">
        <v>1</v>
      </c>
      <c r="Q72" s="5"/>
      <c r="R72" s="5"/>
      <c r="S72" s="5"/>
    </row>
    <row r="73" spans="1:44" ht="16.5" customHeight="1" x14ac:dyDescent="0.2">
      <c r="B73" s="6">
        <v>59</v>
      </c>
      <c r="C73" s="6">
        <v>59</v>
      </c>
      <c r="D73" s="45" t="s">
        <v>1451</v>
      </c>
      <c r="E73" s="45" t="s">
        <v>1452</v>
      </c>
      <c r="F73" s="45" t="s">
        <v>446</v>
      </c>
      <c r="G73" s="5" t="s">
        <v>698</v>
      </c>
      <c r="H73" s="5" t="s">
        <v>446</v>
      </c>
      <c r="I73" s="45" t="s">
        <v>1126</v>
      </c>
      <c r="J73" s="5" t="s">
        <v>434</v>
      </c>
      <c r="K73" s="5" t="s">
        <v>886</v>
      </c>
      <c r="L73" s="6" t="s">
        <v>541</v>
      </c>
      <c r="M73" s="6" t="s">
        <v>469</v>
      </c>
      <c r="N73" s="6" t="s">
        <v>1662</v>
      </c>
      <c r="P73" s="6">
        <v>1</v>
      </c>
      <c r="Q73" s="5"/>
      <c r="R73" s="5"/>
      <c r="S73" s="5"/>
    </row>
    <row r="74" spans="1:44" s="4" customFormat="1" ht="16.5" customHeight="1" x14ac:dyDescent="0.2">
      <c r="A74"/>
      <c r="B74" s="6">
        <f>600+Tabla3[[#This Row],[interno]]</f>
        <v>603</v>
      </c>
      <c r="C74" s="6">
        <v>3</v>
      </c>
      <c r="D74" s="80">
        <v>3313332011</v>
      </c>
      <c r="E74" s="47" t="s">
        <v>660</v>
      </c>
      <c r="F74" s="5" t="s">
        <v>479</v>
      </c>
      <c r="G74" s="5" t="s">
        <v>480</v>
      </c>
      <c r="H74" s="5" t="s">
        <v>479</v>
      </c>
      <c r="I74" s="49"/>
      <c r="J74" s="5" t="s">
        <v>1878</v>
      </c>
      <c r="K74" s="5" t="s">
        <v>113</v>
      </c>
      <c r="L74" s="6" t="s">
        <v>514</v>
      </c>
      <c r="M74" s="49" t="s">
        <v>469</v>
      </c>
      <c r="N74" s="49" t="s">
        <v>1665</v>
      </c>
      <c r="O74" s="49"/>
      <c r="P74" s="6">
        <v>1</v>
      </c>
      <c r="Q74" s="5"/>
      <c r="R74" s="5"/>
      <c r="S74" s="5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s="4" customFormat="1" ht="16.5" customHeight="1" x14ac:dyDescent="0.2">
      <c r="A75"/>
      <c r="B75" s="6">
        <v>710</v>
      </c>
      <c r="C75" s="6">
        <v>10</v>
      </c>
      <c r="D75" s="33" t="s">
        <v>519</v>
      </c>
      <c r="E75" s="33" t="s">
        <v>2131</v>
      </c>
      <c r="F75" s="5" t="s">
        <v>444</v>
      </c>
      <c r="G75" s="5" t="s">
        <v>1127</v>
      </c>
      <c r="H75" s="5" t="s">
        <v>444</v>
      </c>
      <c r="I75" s="52" t="s">
        <v>2157</v>
      </c>
      <c r="J75" s="5" t="s">
        <v>434</v>
      </c>
      <c r="K75" s="5" t="s">
        <v>132</v>
      </c>
      <c r="L75" s="6" t="s">
        <v>540</v>
      </c>
      <c r="M75" s="6" t="s">
        <v>469</v>
      </c>
      <c r="N75" s="6" t="s">
        <v>1666</v>
      </c>
      <c r="O75" s="6"/>
      <c r="P75" s="6">
        <v>1</v>
      </c>
      <c r="Q75" s="5"/>
      <c r="R75" s="5"/>
      <c r="S75" s="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s="4" customFormat="1" ht="16.5" customHeight="1" x14ac:dyDescent="0.2">
      <c r="A76"/>
      <c r="B76" s="6">
        <v>56</v>
      </c>
      <c r="C76" s="6">
        <v>56</v>
      </c>
      <c r="D76" s="45" t="s">
        <v>1453</v>
      </c>
      <c r="E76" s="45" t="s">
        <v>1454</v>
      </c>
      <c r="F76" s="45" t="s">
        <v>464</v>
      </c>
      <c r="G76" s="5" t="s">
        <v>1128</v>
      </c>
      <c r="H76" s="5" t="s">
        <v>464</v>
      </c>
      <c r="I76" s="45" t="s">
        <v>1129</v>
      </c>
      <c r="J76" s="5" t="s">
        <v>434</v>
      </c>
      <c r="K76" s="5" t="s">
        <v>886</v>
      </c>
      <c r="L76" s="6" t="s">
        <v>541</v>
      </c>
      <c r="M76" s="6" t="s">
        <v>469</v>
      </c>
      <c r="N76" s="6" t="s">
        <v>1662</v>
      </c>
      <c r="O76" s="6"/>
      <c r="P76" s="6">
        <v>1</v>
      </c>
      <c r="Q76" s="5"/>
      <c r="R76" s="5"/>
      <c r="S76" s="5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s="4" customFormat="1" ht="16.5" customHeight="1" x14ac:dyDescent="0.2">
      <c r="A77"/>
      <c r="B77" s="6">
        <v>717</v>
      </c>
      <c r="C77" s="6">
        <v>17</v>
      </c>
      <c r="D77" s="33" t="s">
        <v>521</v>
      </c>
      <c r="E77" s="33" t="s">
        <v>2137</v>
      </c>
      <c r="F77" s="5" t="s">
        <v>520</v>
      </c>
      <c r="G77" s="5" t="s">
        <v>1859</v>
      </c>
      <c r="H77" s="5" t="s">
        <v>520</v>
      </c>
      <c r="I77" s="52" t="s">
        <v>2162</v>
      </c>
      <c r="J77" s="5" t="s">
        <v>434</v>
      </c>
      <c r="K77" s="5" t="s">
        <v>822</v>
      </c>
      <c r="L77" s="6" t="s">
        <v>541</v>
      </c>
      <c r="M77" s="6" t="s">
        <v>469</v>
      </c>
      <c r="N77" s="6" t="s">
        <v>1666</v>
      </c>
      <c r="O77" s="6"/>
      <c r="P77" s="6">
        <v>1</v>
      </c>
      <c r="Q77" s="5"/>
      <c r="R77" s="5"/>
      <c r="S77" s="5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</row>
    <row r="78" spans="1:44" s="4" customFormat="1" ht="16.5" customHeight="1" x14ac:dyDescent="0.2">
      <c r="A78"/>
      <c r="B78" s="6">
        <v>716</v>
      </c>
      <c r="C78" s="6">
        <v>16</v>
      </c>
      <c r="D78" s="33" t="s">
        <v>523</v>
      </c>
      <c r="E78" s="33" t="s">
        <v>2136</v>
      </c>
      <c r="F78" s="5" t="s">
        <v>522</v>
      </c>
      <c r="G78" s="5" t="s">
        <v>1860</v>
      </c>
      <c r="H78" s="5" t="s">
        <v>522</v>
      </c>
      <c r="I78" s="52" t="s">
        <v>2161</v>
      </c>
      <c r="J78" s="5" t="s">
        <v>434</v>
      </c>
      <c r="K78" s="5" t="s">
        <v>822</v>
      </c>
      <c r="L78" s="6" t="s">
        <v>541</v>
      </c>
      <c r="M78" s="6" t="s">
        <v>469</v>
      </c>
      <c r="N78" s="6" t="s">
        <v>1666</v>
      </c>
      <c r="O78" s="6"/>
      <c r="P78" s="6">
        <v>1</v>
      </c>
      <c r="Q78" s="5"/>
      <c r="R78" s="5"/>
      <c r="S78" s="5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</row>
    <row r="79" spans="1:44" s="4" customFormat="1" ht="16.5" customHeight="1" x14ac:dyDescent="0.2">
      <c r="A79"/>
      <c r="B79" s="6">
        <v>726</v>
      </c>
      <c r="C79" s="6">
        <v>26</v>
      </c>
      <c r="D79" s="33" t="s">
        <v>537</v>
      </c>
      <c r="E79" s="50" t="s">
        <v>2146</v>
      </c>
      <c r="F79" s="5" t="s">
        <v>557</v>
      </c>
      <c r="G79" s="45" t="s">
        <v>1832</v>
      </c>
      <c r="H79" s="5" t="s">
        <v>557</v>
      </c>
      <c r="I79" s="33" t="s">
        <v>558</v>
      </c>
      <c r="J79" s="5" t="s">
        <v>434</v>
      </c>
      <c r="K79" s="5" t="s">
        <v>886</v>
      </c>
      <c r="L79" s="6" t="s">
        <v>541</v>
      </c>
      <c r="M79" s="6" t="s">
        <v>469</v>
      </c>
      <c r="N79" s="6" t="s">
        <v>1666</v>
      </c>
      <c r="O79" s="6"/>
      <c r="P79" s="6">
        <v>1</v>
      </c>
      <c r="Q79" s="5"/>
      <c r="R79" s="5"/>
      <c r="S79" s="5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</row>
    <row r="80" spans="1:44" s="4" customFormat="1" ht="16.5" customHeight="1" x14ac:dyDescent="0.2">
      <c r="A80"/>
      <c r="B80" s="6">
        <v>718</v>
      </c>
      <c r="C80" s="6">
        <v>18</v>
      </c>
      <c r="D80" s="33" t="s">
        <v>533</v>
      </c>
      <c r="E80" s="33" t="s">
        <v>2138</v>
      </c>
      <c r="F80" s="5" t="s">
        <v>559</v>
      </c>
      <c r="G80" s="5" t="s">
        <v>1894</v>
      </c>
      <c r="H80" s="5" t="s">
        <v>559</v>
      </c>
      <c r="I80" s="33" t="s">
        <v>560</v>
      </c>
      <c r="J80" s="5" t="s">
        <v>434</v>
      </c>
      <c r="K80" s="5" t="s">
        <v>28</v>
      </c>
      <c r="L80" s="6" t="s">
        <v>540</v>
      </c>
      <c r="M80" s="6" t="s">
        <v>469</v>
      </c>
      <c r="N80" s="6" t="s">
        <v>1666</v>
      </c>
      <c r="O80" s="6"/>
      <c r="P80" s="6">
        <v>1</v>
      </c>
      <c r="Q80" s="5"/>
      <c r="R80" s="5"/>
      <c r="S80" s="5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</row>
    <row r="81" spans="1:44" s="4" customFormat="1" ht="16.5" customHeight="1" x14ac:dyDescent="0.2">
      <c r="A81"/>
      <c r="B81" s="6">
        <v>58</v>
      </c>
      <c r="C81" s="6">
        <v>58</v>
      </c>
      <c r="D81" s="45" t="s">
        <v>1445</v>
      </c>
      <c r="E81" s="45" t="s">
        <v>1446</v>
      </c>
      <c r="F81" s="5" t="s">
        <v>718</v>
      </c>
      <c r="G81" s="5" t="s">
        <v>717</v>
      </c>
      <c r="H81" s="5" t="s">
        <v>718</v>
      </c>
      <c r="I81" s="45" t="s">
        <v>714</v>
      </c>
      <c r="J81" s="5" t="s">
        <v>434</v>
      </c>
      <c r="K81" s="5" t="s">
        <v>184</v>
      </c>
      <c r="L81" s="6" t="s">
        <v>514</v>
      </c>
      <c r="M81" s="6" t="s">
        <v>469</v>
      </c>
      <c r="N81" s="6" t="s">
        <v>1662</v>
      </c>
      <c r="O81" s="6"/>
      <c r="P81" s="6">
        <v>1</v>
      </c>
      <c r="Q81" s="5"/>
      <c r="R81" s="5"/>
      <c r="S81" s="5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</row>
    <row r="82" spans="1:44" s="4" customFormat="1" ht="16.5" customHeight="1" x14ac:dyDescent="0.2">
      <c r="A82"/>
      <c r="B82" s="6">
        <f>800+Tabla3[[#This Row],[interno]]</f>
        <v>812</v>
      </c>
      <c r="C82" s="6">
        <v>12</v>
      </c>
      <c r="D82" s="46"/>
      <c r="E82" s="46"/>
      <c r="F82" s="45" t="s">
        <v>482</v>
      </c>
      <c r="G82" s="5" t="s">
        <v>483</v>
      </c>
      <c r="H82" s="5" t="s">
        <v>482</v>
      </c>
      <c r="I82" s="48" t="s">
        <v>481</v>
      </c>
      <c r="J82" s="5" t="s">
        <v>547</v>
      </c>
      <c r="K82" s="5" t="s">
        <v>513</v>
      </c>
      <c r="L82" s="6" t="s">
        <v>514</v>
      </c>
      <c r="M82" s="49" t="s">
        <v>469</v>
      </c>
      <c r="N82" s="49" t="s">
        <v>2009</v>
      </c>
      <c r="O82" s="49"/>
      <c r="P82" s="6">
        <v>1</v>
      </c>
      <c r="Q82" s="5"/>
      <c r="R82" s="5"/>
      <c r="S82" s="5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</row>
    <row r="83" spans="1:44" ht="16.5" customHeight="1" x14ac:dyDescent="0.2">
      <c r="B83" s="6">
        <f>600+Tabla3[[#This Row],[interno]]</f>
        <v>631</v>
      </c>
      <c r="C83" s="6">
        <v>31</v>
      </c>
      <c r="D83" s="81">
        <v>3781166876</v>
      </c>
      <c r="E83" s="81">
        <v>3781166876</v>
      </c>
      <c r="F83" s="83" t="s">
        <v>485</v>
      </c>
      <c r="G83" s="75" t="s">
        <v>486</v>
      </c>
      <c r="H83" s="75" t="s">
        <v>485</v>
      </c>
      <c r="I83" s="84" t="s">
        <v>484</v>
      </c>
      <c r="J83" s="75" t="s">
        <v>547</v>
      </c>
      <c r="K83" s="75" t="s">
        <v>513</v>
      </c>
      <c r="L83" s="74" t="s">
        <v>514</v>
      </c>
      <c r="M83" s="76" t="s">
        <v>469</v>
      </c>
      <c r="N83" s="76" t="s">
        <v>1665</v>
      </c>
      <c r="O83" s="76"/>
      <c r="P83" s="6">
        <v>1</v>
      </c>
      <c r="Q83" s="5"/>
      <c r="R83" s="5"/>
      <c r="S83" s="5"/>
    </row>
    <row r="84" spans="1:44" ht="16.5" customHeight="1" x14ac:dyDescent="0.2">
      <c r="B84" s="6">
        <f>600+Tabla3[[#This Row],[interno]]</f>
        <v>634</v>
      </c>
      <c r="C84" s="6">
        <v>34</v>
      </c>
      <c r="D84" s="80">
        <v>3781166879</v>
      </c>
      <c r="E84" s="46">
        <v>3781166879</v>
      </c>
      <c r="F84" s="5" t="s">
        <v>512</v>
      </c>
      <c r="G84" s="5" t="s">
        <v>1130</v>
      </c>
      <c r="H84" s="5" t="s">
        <v>512</v>
      </c>
      <c r="I84" s="49"/>
      <c r="J84" s="5" t="s">
        <v>547</v>
      </c>
      <c r="K84" s="5" t="s">
        <v>886</v>
      </c>
      <c r="L84" s="6" t="s">
        <v>541</v>
      </c>
      <c r="M84" s="49" t="s">
        <v>469</v>
      </c>
      <c r="N84" s="49" t="s">
        <v>1665</v>
      </c>
      <c r="O84" s="49"/>
      <c r="P84" s="6">
        <v>1</v>
      </c>
      <c r="Q84" s="5"/>
      <c r="R84" s="5"/>
      <c r="S84" s="5"/>
    </row>
    <row r="85" spans="1:44" ht="16.5" customHeight="1" x14ac:dyDescent="0.2">
      <c r="B85" s="6">
        <f>600+Tabla3[[#This Row],[interno]]</f>
        <v>608</v>
      </c>
      <c r="C85" s="6">
        <v>8</v>
      </c>
      <c r="D85" s="81">
        <v>3316056794</v>
      </c>
      <c r="E85" s="81">
        <v>3316056794</v>
      </c>
      <c r="F85" s="75" t="s">
        <v>511</v>
      </c>
      <c r="G85" s="75" t="s">
        <v>1131</v>
      </c>
      <c r="H85" s="75" t="s">
        <v>511</v>
      </c>
      <c r="I85" s="76"/>
      <c r="J85" s="75" t="s">
        <v>547</v>
      </c>
      <c r="K85" s="75" t="s">
        <v>886</v>
      </c>
      <c r="L85" s="74" t="s">
        <v>541</v>
      </c>
      <c r="M85" s="76" t="s">
        <v>469</v>
      </c>
      <c r="N85" s="76" t="s">
        <v>1665</v>
      </c>
      <c r="O85" s="76"/>
      <c r="P85" s="6">
        <v>1</v>
      </c>
      <c r="Q85" s="5"/>
      <c r="R85" s="5"/>
      <c r="S85" s="5"/>
    </row>
    <row r="86" spans="1:44" s="4" customFormat="1" ht="16.5" customHeight="1" x14ac:dyDescent="0.2">
      <c r="A86"/>
      <c r="B86" s="6">
        <v>719</v>
      </c>
      <c r="C86" s="6">
        <v>19</v>
      </c>
      <c r="D86" s="33" t="s">
        <v>525</v>
      </c>
      <c r="E86" s="50" t="s">
        <v>2139</v>
      </c>
      <c r="F86" s="5" t="s">
        <v>524</v>
      </c>
      <c r="G86" s="5" t="s">
        <v>1132</v>
      </c>
      <c r="H86" s="5" t="s">
        <v>524</v>
      </c>
      <c r="I86" s="52" t="s">
        <v>2163</v>
      </c>
      <c r="J86" s="5" t="s">
        <v>434</v>
      </c>
      <c r="K86" s="5" t="s">
        <v>309</v>
      </c>
      <c r="L86" s="6" t="s">
        <v>541</v>
      </c>
      <c r="M86" s="6" t="s">
        <v>469</v>
      </c>
      <c r="N86" s="6" t="s">
        <v>1666</v>
      </c>
      <c r="O86" s="6"/>
      <c r="P86" s="6">
        <v>1</v>
      </c>
      <c r="Q86" s="5"/>
      <c r="R86" s="5"/>
      <c r="S86" s="5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</row>
    <row r="87" spans="1:44" s="4" customFormat="1" ht="16.5" customHeight="1" x14ac:dyDescent="0.2">
      <c r="A87"/>
      <c r="B87" s="6">
        <v>720</v>
      </c>
      <c r="C87" s="6">
        <v>20</v>
      </c>
      <c r="D87" s="33" t="s">
        <v>527</v>
      </c>
      <c r="E87" s="50" t="s">
        <v>2140</v>
      </c>
      <c r="F87" s="5" t="s">
        <v>526</v>
      </c>
      <c r="G87" s="5" t="s">
        <v>1133</v>
      </c>
      <c r="H87" s="5" t="s">
        <v>526</v>
      </c>
      <c r="I87" s="52" t="s">
        <v>2166</v>
      </c>
      <c r="J87" s="5" t="s">
        <v>434</v>
      </c>
      <c r="K87" s="5" t="s">
        <v>309</v>
      </c>
      <c r="L87" s="6" t="s">
        <v>541</v>
      </c>
      <c r="M87" s="6" t="s">
        <v>469</v>
      </c>
      <c r="N87" s="6" t="s">
        <v>1666</v>
      </c>
      <c r="O87" s="6"/>
      <c r="P87" s="6">
        <v>1</v>
      </c>
      <c r="Q87" s="5"/>
      <c r="R87" s="5"/>
      <c r="S87" s="5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</row>
    <row r="88" spans="1:44" s="4" customFormat="1" ht="16.5" customHeight="1" x14ac:dyDescent="0.2">
      <c r="A88"/>
      <c r="B88" s="6">
        <v>721</v>
      </c>
      <c r="C88" s="6">
        <v>21</v>
      </c>
      <c r="D88" s="33" t="s">
        <v>529</v>
      </c>
      <c r="E88" s="50" t="s">
        <v>2141</v>
      </c>
      <c r="F88" s="5" t="s">
        <v>528</v>
      </c>
      <c r="G88" s="5" t="s">
        <v>577</v>
      </c>
      <c r="H88" s="5" t="s">
        <v>528</v>
      </c>
      <c r="I88" s="52" t="s">
        <v>2164</v>
      </c>
      <c r="J88" s="5" t="s">
        <v>434</v>
      </c>
      <c r="K88" s="5" t="s">
        <v>309</v>
      </c>
      <c r="L88" s="6" t="s">
        <v>541</v>
      </c>
      <c r="M88" s="6" t="s">
        <v>469</v>
      </c>
      <c r="N88" s="6" t="s">
        <v>1666</v>
      </c>
      <c r="O88" s="6"/>
      <c r="P88" s="6">
        <v>1</v>
      </c>
      <c r="Q88" s="5"/>
      <c r="R88" s="5"/>
      <c r="S88" s="5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</row>
    <row r="89" spans="1:44" s="4" customFormat="1" ht="16.5" customHeight="1" x14ac:dyDescent="0.2">
      <c r="A89"/>
      <c r="B89" s="6">
        <v>722</v>
      </c>
      <c r="C89" s="6">
        <v>22</v>
      </c>
      <c r="D89" s="33" t="s">
        <v>531</v>
      </c>
      <c r="E89" s="50" t="s">
        <v>2142</v>
      </c>
      <c r="F89" s="5" t="s">
        <v>530</v>
      </c>
      <c r="G89" s="5" t="s">
        <v>1134</v>
      </c>
      <c r="H89" s="5" t="s">
        <v>530</v>
      </c>
      <c r="I89" s="52" t="s">
        <v>2165</v>
      </c>
      <c r="J89" s="5" t="s">
        <v>434</v>
      </c>
      <c r="K89" s="5" t="s">
        <v>309</v>
      </c>
      <c r="L89" s="6" t="s">
        <v>541</v>
      </c>
      <c r="M89" s="6" t="s">
        <v>469</v>
      </c>
      <c r="N89" s="6" t="s">
        <v>1666</v>
      </c>
      <c r="O89" s="6"/>
      <c r="P89" s="6">
        <v>1</v>
      </c>
      <c r="Q89" s="5"/>
      <c r="R89" s="5"/>
      <c r="S89" s="5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</row>
    <row r="90" spans="1:44" s="4" customFormat="1" ht="16.5" customHeight="1" x14ac:dyDescent="0.2">
      <c r="A90"/>
      <c r="B90" s="6">
        <v>723</v>
      </c>
      <c r="C90" s="6">
        <v>23</v>
      </c>
      <c r="D90" s="33" t="s">
        <v>534</v>
      </c>
      <c r="E90" s="50" t="s">
        <v>2143</v>
      </c>
      <c r="F90" s="5" t="s">
        <v>538</v>
      </c>
      <c r="G90" s="5" t="s">
        <v>727</v>
      </c>
      <c r="H90" s="5" t="s">
        <v>538</v>
      </c>
      <c r="I90" s="33" t="s">
        <v>539</v>
      </c>
      <c r="J90" s="5" t="s">
        <v>434</v>
      </c>
      <c r="K90" s="5" t="s">
        <v>28</v>
      </c>
      <c r="L90" s="6" t="s">
        <v>540</v>
      </c>
      <c r="M90" s="6" t="s">
        <v>469</v>
      </c>
      <c r="N90" s="6" t="s">
        <v>1666</v>
      </c>
      <c r="O90" s="6"/>
      <c r="P90" s="6">
        <v>1</v>
      </c>
      <c r="Q90" s="5"/>
      <c r="R90" s="5"/>
      <c r="S90" s="5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</row>
    <row r="91" spans="1:44" s="4" customFormat="1" ht="16.5" customHeight="1" x14ac:dyDescent="0.2">
      <c r="A91"/>
      <c r="B91" s="6">
        <v>724</v>
      </c>
      <c r="C91" s="6">
        <v>24</v>
      </c>
      <c r="D91" s="33" t="s">
        <v>535</v>
      </c>
      <c r="E91" s="50" t="s">
        <v>2144</v>
      </c>
      <c r="F91" s="5" t="s">
        <v>548</v>
      </c>
      <c r="G91" s="5" t="s">
        <v>1135</v>
      </c>
      <c r="H91" s="5" t="s">
        <v>548</v>
      </c>
      <c r="I91" s="33" t="s">
        <v>549</v>
      </c>
      <c r="J91" s="5" t="s">
        <v>434</v>
      </c>
      <c r="K91" s="5" t="s">
        <v>886</v>
      </c>
      <c r="L91" s="6" t="s">
        <v>541</v>
      </c>
      <c r="M91" s="6" t="s">
        <v>469</v>
      </c>
      <c r="N91" s="6" t="s">
        <v>1666</v>
      </c>
      <c r="O91" s="6"/>
      <c r="P91" s="6">
        <v>1</v>
      </c>
      <c r="Q91" s="5"/>
      <c r="R91" s="5"/>
      <c r="S91" s="5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</row>
    <row r="92" spans="1:44" s="4" customFormat="1" ht="16.5" customHeight="1" x14ac:dyDescent="0.2">
      <c r="A92"/>
      <c r="B92" s="6">
        <v>725</v>
      </c>
      <c r="C92" s="6">
        <v>25</v>
      </c>
      <c r="D92" s="33" t="s">
        <v>536</v>
      </c>
      <c r="E92" s="50" t="s">
        <v>2145</v>
      </c>
      <c r="F92" s="5" t="s">
        <v>550</v>
      </c>
      <c r="G92" s="5" t="s">
        <v>1136</v>
      </c>
      <c r="H92" s="5" t="s">
        <v>550</v>
      </c>
      <c r="I92" s="33" t="s">
        <v>551</v>
      </c>
      <c r="J92" s="5" t="s">
        <v>434</v>
      </c>
      <c r="K92" s="5" t="s">
        <v>886</v>
      </c>
      <c r="L92" s="6" t="s">
        <v>541</v>
      </c>
      <c r="M92" s="6" t="s">
        <v>469</v>
      </c>
      <c r="N92" s="6" t="s">
        <v>1666</v>
      </c>
      <c r="O92" s="6"/>
      <c r="P92" s="6">
        <v>1</v>
      </c>
      <c r="Q92" s="5"/>
      <c r="R92" s="5"/>
      <c r="S92" s="5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</row>
    <row r="93" spans="1:44" s="4" customFormat="1" ht="16.5" customHeight="1" x14ac:dyDescent="0.2">
      <c r="A93"/>
      <c r="B93" s="6">
        <v>701</v>
      </c>
      <c r="C93" s="6">
        <v>1</v>
      </c>
      <c r="D93" s="33" t="s">
        <v>563</v>
      </c>
      <c r="E93" s="33" t="s">
        <v>2122</v>
      </c>
      <c r="F93" s="5" t="s">
        <v>564</v>
      </c>
      <c r="G93" s="5" t="s">
        <v>1137</v>
      </c>
      <c r="H93" s="5" t="s">
        <v>564</v>
      </c>
      <c r="I93" s="33" t="s">
        <v>565</v>
      </c>
      <c r="J93" s="5" t="s">
        <v>434</v>
      </c>
      <c r="K93" s="5" t="s">
        <v>28</v>
      </c>
      <c r="L93" s="6" t="s">
        <v>540</v>
      </c>
      <c r="M93" s="6" t="s">
        <v>469</v>
      </c>
      <c r="N93" s="6" t="s">
        <v>1666</v>
      </c>
      <c r="O93" s="6"/>
      <c r="P93" s="6">
        <v>1</v>
      </c>
      <c r="Q93" s="5"/>
      <c r="R93" s="5"/>
      <c r="S93" s="5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</row>
    <row r="94" spans="1:44" s="4" customFormat="1" ht="16.5" customHeight="1" x14ac:dyDescent="0.2">
      <c r="A94"/>
      <c r="B94" s="6">
        <v>704</v>
      </c>
      <c r="C94" s="6">
        <v>4</v>
      </c>
      <c r="D94" s="33" t="s">
        <v>569</v>
      </c>
      <c r="E94" s="33" t="s">
        <v>2125</v>
      </c>
      <c r="F94" s="45" t="s">
        <v>583</v>
      </c>
      <c r="G94" s="68" t="s">
        <v>708</v>
      </c>
      <c r="H94" s="5" t="s">
        <v>583</v>
      </c>
      <c r="I94" s="33" t="s">
        <v>588</v>
      </c>
      <c r="J94" s="5" t="s">
        <v>434</v>
      </c>
      <c r="K94" s="5" t="s">
        <v>180</v>
      </c>
      <c r="L94" s="6" t="s">
        <v>514</v>
      </c>
      <c r="M94" s="6" t="s">
        <v>582</v>
      </c>
      <c r="N94" s="6" t="s">
        <v>1666</v>
      </c>
      <c r="O94" s="6" t="s">
        <v>603</v>
      </c>
      <c r="P94" s="6">
        <v>1</v>
      </c>
      <c r="Q94" s="5"/>
      <c r="R94" s="5"/>
      <c r="S94" s="5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</row>
    <row r="95" spans="1:44" s="4" customFormat="1" ht="16.5" customHeight="1" x14ac:dyDescent="0.2">
      <c r="A95"/>
      <c r="B95" s="6">
        <v>703</v>
      </c>
      <c r="C95" s="6">
        <v>3</v>
      </c>
      <c r="D95" s="33" t="s">
        <v>568</v>
      </c>
      <c r="E95" s="33" t="s">
        <v>2124</v>
      </c>
      <c r="F95" s="5" t="s">
        <v>579</v>
      </c>
      <c r="G95" s="5" t="s">
        <v>707</v>
      </c>
      <c r="H95" s="5" t="s">
        <v>579</v>
      </c>
      <c r="I95" s="33" t="s">
        <v>580</v>
      </c>
      <c r="J95" s="5" t="s">
        <v>434</v>
      </c>
      <c r="K95" s="5" t="s">
        <v>123</v>
      </c>
      <c r="L95" s="6" t="s">
        <v>541</v>
      </c>
      <c r="M95" s="6" t="s">
        <v>582</v>
      </c>
      <c r="N95" s="6" t="s">
        <v>1666</v>
      </c>
      <c r="O95" s="6"/>
      <c r="P95" s="6">
        <v>1</v>
      </c>
      <c r="Q95" s="5"/>
      <c r="R95" s="5"/>
      <c r="S95" s="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</row>
    <row r="96" spans="1:44" s="4" customFormat="1" ht="16.5" customHeight="1" x14ac:dyDescent="0.2">
      <c r="A96"/>
      <c r="B96" s="6">
        <v>706</v>
      </c>
      <c r="C96" s="6">
        <v>6</v>
      </c>
      <c r="D96" s="33" t="s">
        <v>571</v>
      </c>
      <c r="E96" s="33" t="s">
        <v>2127</v>
      </c>
      <c r="F96" s="5" t="s">
        <v>585</v>
      </c>
      <c r="G96" s="5" t="s">
        <v>725</v>
      </c>
      <c r="H96" s="5" t="s">
        <v>585</v>
      </c>
      <c r="I96" s="33" t="s">
        <v>586</v>
      </c>
      <c r="J96" s="5" t="s">
        <v>434</v>
      </c>
      <c r="K96" s="5" t="s">
        <v>28</v>
      </c>
      <c r="L96" s="6" t="s">
        <v>540</v>
      </c>
      <c r="M96" s="6" t="s">
        <v>582</v>
      </c>
      <c r="N96" s="6" t="s">
        <v>1666</v>
      </c>
      <c r="O96" s="6"/>
      <c r="P96" s="6">
        <v>1</v>
      </c>
      <c r="Q96" s="5"/>
      <c r="R96" s="5"/>
      <c r="S96" s="5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</row>
    <row r="97" spans="2:19" ht="16.5" customHeight="1" x14ac:dyDescent="0.2">
      <c r="B97" s="6">
        <v>705</v>
      </c>
      <c r="C97" s="6">
        <v>5</v>
      </c>
      <c r="D97" s="33" t="s">
        <v>570</v>
      </c>
      <c r="E97" s="33" t="s">
        <v>2126</v>
      </c>
      <c r="F97" s="5" t="s">
        <v>584</v>
      </c>
      <c r="G97" s="59" t="s">
        <v>709</v>
      </c>
      <c r="H97" s="5" t="s">
        <v>584</v>
      </c>
      <c r="I97" s="33" t="s">
        <v>587</v>
      </c>
      <c r="J97" s="5" t="s">
        <v>434</v>
      </c>
      <c r="K97" s="5" t="s">
        <v>44</v>
      </c>
      <c r="L97" s="6" t="s">
        <v>540</v>
      </c>
      <c r="M97" s="6" t="s">
        <v>582</v>
      </c>
      <c r="N97" s="6" t="s">
        <v>1666</v>
      </c>
      <c r="P97" s="6">
        <v>1</v>
      </c>
      <c r="Q97" s="5"/>
      <c r="R97" s="5"/>
      <c r="S97" s="5"/>
    </row>
    <row r="98" spans="2:19" ht="16.5" customHeight="1" x14ac:dyDescent="0.2">
      <c r="B98" s="6">
        <v>702</v>
      </c>
      <c r="C98" s="6">
        <v>2</v>
      </c>
      <c r="D98" s="33" t="s">
        <v>567</v>
      </c>
      <c r="E98" s="33" t="s">
        <v>2123</v>
      </c>
      <c r="F98" s="5" t="s">
        <v>578</v>
      </c>
      <c r="G98" s="5" t="s">
        <v>706</v>
      </c>
      <c r="H98" s="5" t="s">
        <v>578</v>
      </c>
      <c r="I98" s="33" t="s">
        <v>581</v>
      </c>
      <c r="J98" s="5" t="s">
        <v>434</v>
      </c>
      <c r="K98" s="5" t="s">
        <v>123</v>
      </c>
      <c r="L98" s="6" t="s">
        <v>541</v>
      </c>
      <c r="M98" s="6" t="s">
        <v>469</v>
      </c>
      <c r="N98" s="6" t="s">
        <v>1666</v>
      </c>
      <c r="P98" s="6">
        <v>1</v>
      </c>
      <c r="Q98" s="5"/>
      <c r="R98" s="5"/>
      <c r="S98" s="5"/>
    </row>
    <row r="99" spans="2:19" ht="16.5" customHeight="1" x14ac:dyDescent="0.2">
      <c r="B99" s="6">
        <v>261</v>
      </c>
      <c r="C99" s="6">
        <v>61</v>
      </c>
      <c r="D99" s="55" t="s">
        <v>1063</v>
      </c>
      <c r="E99" s="6" t="s">
        <v>915</v>
      </c>
      <c r="F99" s="45" t="s">
        <v>1225</v>
      </c>
      <c r="G99" s="5" t="s">
        <v>1834</v>
      </c>
      <c r="H99" s="45" t="s">
        <v>1225</v>
      </c>
      <c r="I99" s="45" t="s">
        <v>1226</v>
      </c>
      <c r="J99" s="5" t="s">
        <v>1878</v>
      </c>
      <c r="K99" s="6" t="s">
        <v>822</v>
      </c>
      <c r="L99" s="6" t="s">
        <v>541</v>
      </c>
      <c r="M99" s="49" t="s">
        <v>469</v>
      </c>
      <c r="N99" s="49" t="s">
        <v>1663</v>
      </c>
      <c r="O99" s="49"/>
      <c r="P99" s="6"/>
      <c r="Q99" s="5"/>
      <c r="R99" s="5"/>
      <c r="S99" s="5"/>
    </row>
    <row r="100" spans="2:19" ht="16.5" customHeight="1" x14ac:dyDescent="0.2">
      <c r="B100" s="6">
        <v>262</v>
      </c>
      <c r="C100" s="6">
        <v>62</v>
      </c>
      <c r="D100" s="55" t="s">
        <v>1064</v>
      </c>
      <c r="E100" s="6" t="s">
        <v>915</v>
      </c>
      <c r="F100" s="45" t="s">
        <v>1229</v>
      </c>
      <c r="G100" s="37" t="s">
        <v>1280</v>
      </c>
      <c r="H100" s="45" t="s">
        <v>1229</v>
      </c>
      <c r="I100" s="45" t="s">
        <v>1230</v>
      </c>
      <c r="J100" s="6" t="s">
        <v>1275</v>
      </c>
      <c r="K100" s="6" t="s">
        <v>309</v>
      </c>
      <c r="L100" s="6" t="s">
        <v>541</v>
      </c>
      <c r="M100" s="49" t="s">
        <v>469</v>
      </c>
      <c r="N100" s="49" t="s">
        <v>1663</v>
      </c>
      <c r="O100" s="49"/>
      <c r="P100" s="6"/>
      <c r="Q100" s="5"/>
      <c r="R100" s="5"/>
      <c r="S100" s="5"/>
    </row>
    <row r="101" spans="2:19" ht="16.5" customHeight="1" x14ac:dyDescent="0.2">
      <c r="B101" s="6">
        <v>263</v>
      </c>
      <c r="C101" s="6">
        <v>63</v>
      </c>
      <c r="D101" s="54" t="s">
        <v>2418</v>
      </c>
      <c r="E101" s="6" t="s">
        <v>915</v>
      </c>
      <c r="F101" s="45" t="s">
        <v>1223</v>
      </c>
      <c r="G101" s="37" t="s">
        <v>2121</v>
      </c>
      <c r="H101" s="45" t="s">
        <v>1223</v>
      </c>
      <c r="I101" s="45" t="s">
        <v>1224</v>
      </c>
      <c r="J101" s="6" t="s">
        <v>1275</v>
      </c>
      <c r="K101" s="5" t="s">
        <v>309</v>
      </c>
      <c r="L101" s="6" t="s">
        <v>541</v>
      </c>
      <c r="M101" s="49" t="s">
        <v>469</v>
      </c>
      <c r="N101" s="49" t="s">
        <v>1663</v>
      </c>
      <c r="O101" s="49"/>
      <c r="P101" s="6"/>
      <c r="Q101" s="5"/>
      <c r="R101" s="5"/>
      <c r="S101" s="5"/>
    </row>
    <row r="102" spans="2:19" ht="16.5" customHeight="1" x14ac:dyDescent="0.2">
      <c r="B102" s="6">
        <v>264</v>
      </c>
      <c r="C102" s="6">
        <v>64</v>
      </c>
      <c r="D102" s="54" t="s">
        <v>2419</v>
      </c>
      <c r="E102" s="6" t="s">
        <v>915</v>
      </c>
      <c r="F102" s="5" t="s">
        <v>1211</v>
      </c>
      <c r="G102" s="37" t="s">
        <v>1284</v>
      </c>
      <c r="H102" s="45" t="s">
        <v>1211</v>
      </c>
      <c r="I102" s="45" t="s">
        <v>1212</v>
      </c>
      <c r="J102" s="6" t="s">
        <v>1275</v>
      </c>
      <c r="K102" s="6" t="s">
        <v>886</v>
      </c>
      <c r="L102" s="6" t="s">
        <v>541</v>
      </c>
      <c r="M102" s="49" t="s">
        <v>469</v>
      </c>
      <c r="N102" s="49" t="s">
        <v>1663</v>
      </c>
      <c r="O102" s="49"/>
      <c r="P102" s="6"/>
      <c r="Q102" s="5"/>
      <c r="R102" s="5"/>
      <c r="S102" s="5"/>
    </row>
    <row r="103" spans="2:19" ht="16.5" customHeight="1" x14ac:dyDescent="0.2">
      <c r="B103" s="6">
        <v>265</v>
      </c>
      <c r="C103" s="6">
        <v>65</v>
      </c>
      <c r="D103" s="54" t="s">
        <v>2420</v>
      </c>
      <c r="E103" s="6" t="s">
        <v>915</v>
      </c>
      <c r="F103" s="5" t="s">
        <v>1227</v>
      </c>
      <c r="G103" s="9" t="s">
        <v>1276</v>
      </c>
      <c r="H103" s="45" t="s">
        <v>1227</v>
      </c>
      <c r="I103" s="45" t="s">
        <v>1228</v>
      </c>
      <c r="J103" s="6" t="s">
        <v>1275</v>
      </c>
      <c r="K103" s="6" t="s">
        <v>886</v>
      </c>
      <c r="L103" s="6" t="s">
        <v>541</v>
      </c>
      <c r="M103" s="49" t="s">
        <v>469</v>
      </c>
      <c r="N103" s="49" t="s">
        <v>1663</v>
      </c>
      <c r="O103" s="49"/>
      <c r="P103" s="6"/>
      <c r="Q103" s="5"/>
      <c r="R103" s="5"/>
      <c r="S103" s="5"/>
    </row>
    <row r="104" spans="2:19" ht="16.5" customHeight="1" x14ac:dyDescent="0.2">
      <c r="B104" s="6">
        <v>266</v>
      </c>
      <c r="C104" s="6">
        <v>66</v>
      </c>
      <c r="D104" s="54" t="s">
        <v>2421</v>
      </c>
      <c r="E104" s="6" t="s">
        <v>915</v>
      </c>
      <c r="F104" s="5" t="s">
        <v>1213</v>
      </c>
      <c r="G104" s="37" t="s">
        <v>1282</v>
      </c>
      <c r="H104" s="45" t="s">
        <v>1213</v>
      </c>
      <c r="I104" s="45" t="s">
        <v>1214</v>
      </c>
      <c r="J104" s="6" t="s">
        <v>1275</v>
      </c>
      <c r="K104" s="6" t="s">
        <v>886</v>
      </c>
      <c r="L104" s="6" t="s">
        <v>541</v>
      </c>
      <c r="M104" s="49" t="s">
        <v>469</v>
      </c>
      <c r="N104" s="49" t="s">
        <v>1663</v>
      </c>
      <c r="O104" s="49"/>
      <c r="P104" s="6"/>
      <c r="Q104" s="5"/>
      <c r="R104" s="5"/>
      <c r="S104" s="5"/>
    </row>
    <row r="105" spans="2:19" ht="16.5" customHeight="1" x14ac:dyDescent="0.2">
      <c r="B105" s="6">
        <v>267</v>
      </c>
      <c r="C105" s="6">
        <v>67</v>
      </c>
      <c r="D105" s="55" t="s">
        <v>1065</v>
      </c>
      <c r="E105" s="6" t="s">
        <v>915</v>
      </c>
      <c r="F105" s="45" t="s">
        <v>1219</v>
      </c>
      <c r="G105" s="5" t="s">
        <v>1895</v>
      </c>
      <c r="H105" s="45" t="s">
        <v>1219</v>
      </c>
      <c r="I105" s="45" t="s">
        <v>1220</v>
      </c>
      <c r="J105" s="6" t="s">
        <v>1275</v>
      </c>
      <c r="K105" s="6" t="s">
        <v>28</v>
      </c>
      <c r="L105" s="6" t="s">
        <v>540</v>
      </c>
      <c r="M105" s="49" t="s">
        <v>469</v>
      </c>
      <c r="N105" s="49" t="s">
        <v>1663</v>
      </c>
      <c r="O105" s="49"/>
      <c r="P105" s="6"/>
      <c r="Q105" s="5"/>
      <c r="R105" s="5"/>
      <c r="S105" s="5"/>
    </row>
    <row r="106" spans="2:19" ht="16.5" customHeight="1" x14ac:dyDescent="0.2">
      <c r="B106" s="6">
        <v>268</v>
      </c>
      <c r="C106" s="6">
        <v>68</v>
      </c>
      <c r="D106" s="55" t="s">
        <v>1066</v>
      </c>
      <c r="E106" s="6" t="s">
        <v>915</v>
      </c>
      <c r="F106" s="5" t="s">
        <v>1217</v>
      </c>
      <c r="G106" s="9" t="s">
        <v>1274</v>
      </c>
      <c r="H106" s="45" t="s">
        <v>1217</v>
      </c>
      <c r="I106" s="45" t="s">
        <v>1218</v>
      </c>
      <c r="J106" s="6" t="s">
        <v>1275</v>
      </c>
      <c r="K106" s="6" t="s">
        <v>886</v>
      </c>
      <c r="L106" s="6" t="s">
        <v>541</v>
      </c>
      <c r="M106" s="49" t="s">
        <v>469</v>
      </c>
      <c r="N106" s="49" t="s">
        <v>1663</v>
      </c>
      <c r="O106" s="49"/>
      <c r="P106" s="6"/>
      <c r="Q106" s="5"/>
      <c r="R106" s="5"/>
      <c r="S106" s="5"/>
    </row>
    <row r="107" spans="2:19" ht="16.5" customHeight="1" x14ac:dyDescent="0.2">
      <c r="B107" s="6">
        <v>269</v>
      </c>
      <c r="C107" s="6">
        <v>69</v>
      </c>
      <c r="D107" s="54" t="s">
        <v>2422</v>
      </c>
      <c r="E107" s="6" t="s">
        <v>915</v>
      </c>
      <c r="F107" s="5" t="s">
        <v>1215</v>
      </c>
      <c r="G107" s="37" t="s">
        <v>1681</v>
      </c>
      <c r="H107" s="45" t="s">
        <v>1215</v>
      </c>
      <c r="I107" s="45" t="s">
        <v>1216</v>
      </c>
      <c r="J107" s="6" t="s">
        <v>1275</v>
      </c>
      <c r="K107" s="6" t="s">
        <v>886</v>
      </c>
      <c r="L107" s="6" t="s">
        <v>541</v>
      </c>
      <c r="M107" s="49" t="s">
        <v>469</v>
      </c>
      <c r="N107" s="49" t="s">
        <v>1663</v>
      </c>
      <c r="O107" s="49"/>
      <c r="P107" s="6"/>
      <c r="Q107" s="5"/>
      <c r="R107" s="5"/>
      <c r="S107" s="5"/>
    </row>
    <row r="108" spans="2:19" ht="16.5" customHeight="1" x14ac:dyDescent="0.2">
      <c r="B108" s="6">
        <v>270</v>
      </c>
      <c r="C108" s="6">
        <v>70</v>
      </c>
      <c r="D108" s="55" t="s">
        <v>1067</v>
      </c>
      <c r="E108" s="6" t="s">
        <v>915</v>
      </c>
      <c r="F108" s="5" t="s">
        <v>1221</v>
      </c>
      <c r="G108" s="37" t="s">
        <v>1283</v>
      </c>
      <c r="H108" s="45" t="s">
        <v>1221</v>
      </c>
      <c r="I108" s="45" t="s">
        <v>1222</v>
      </c>
      <c r="J108" s="6" t="s">
        <v>1275</v>
      </c>
      <c r="K108" s="6" t="s">
        <v>886</v>
      </c>
      <c r="L108" s="6" t="s">
        <v>541</v>
      </c>
      <c r="M108" s="49" t="s">
        <v>469</v>
      </c>
      <c r="N108" s="49" t="s">
        <v>1663</v>
      </c>
      <c r="O108" s="49"/>
      <c r="P108" s="6"/>
      <c r="Q108" s="5"/>
      <c r="R108" s="5"/>
      <c r="S108" s="5"/>
    </row>
    <row r="109" spans="2:19" ht="16.5" customHeight="1" x14ac:dyDescent="0.2">
      <c r="B109" s="6">
        <v>344</v>
      </c>
      <c r="C109" s="6">
        <v>144</v>
      </c>
      <c r="D109" s="33" t="s">
        <v>1918</v>
      </c>
      <c r="E109" s="6" t="s">
        <v>915</v>
      </c>
      <c r="F109" s="33" t="s">
        <v>1982</v>
      </c>
      <c r="G109" s="9" t="s">
        <v>2004</v>
      </c>
      <c r="H109" s="33" t="s">
        <v>1982</v>
      </c>
      <c r="I109" s="33" t="s">
        <v>1983</v>
      </c>
      <c r="J109" s="5" t="s">
        <v>1275</v>
      </c>
      <c r="K109" s="6" t="s">
        <v>1975</v>
      </c>
      <c r="L109" s="6" t="s">
        <v>514</v>
      </c>
      <c r="M109" s="49" t="s">
        <v>469</v>
      </c>
      <c r="N109" s="6" t="s">
        <v>1663</v>
      </c>
      <c r="P109" s="6"/>
      <c r="Q109" s="5"/>
      <c r="R109" s="5"/>
      <c r="S109" s="5"/>
    </row>
    <row r="110" spans="2:19" ht="16.5" customHeight="1" x14ac:dyDescent="0.2">
      <c r="B110" s="6">
        <v>347</v>
      </c>
      <c r="C110" s="6">
        <v>147</v>
      </c>
      <c r="D110" s="33" t="s">
        <v>1921</v>
      </c>
      <c r="E110" s="6" t="s">
        <v>915</v>
      </c>
      <c r="F110" s="33" t="s">
        <v>1988</v>
      </c>
      <c r="G110" s="9" t="s">
        <v>2001</v>
      </c>
      <c r="H110" s="33" t="s">
        <v>1988</v>
      </c>
      <c r="I110" s="33" t="s">
        <v>1992</v>
      </c>
      <c r="J110" s="5" t="s">
        <v>1275</v>
      </c>
      <c r="K110" s="6" t="s">
        <v>1989</v>
      </c>
      <c r="L110" s="6" t="s">
        <v>514</v>
      </c>
      <c r="M110" s="49" t="s">
        <v>469</v>
      </c>
      <c r="N110" s="6" t="s">
        <v>1663</v>
      </c>
      <c r="O110" s="6" t="s">
        <v>2477</v>
      </c>
      <c r="P110" s="6"/>
      <c r="Q110" s="5"/>
      <c r="R110" s="5"/>
      <c r="S110" s="5"/>
    </row>
    <row r="111" spans="2:19" ht="16.5" customHeight="1" x14ac:dyDescent="0.2">
      <c r="B111" s="6">
        <v>348</v>
      </c>
      <c r="C111" s="6">
        <v>148</v>
      </c>
      <c r="D111" s="33" t="s">
        <v>1922</v>
      </c>
      <c r="E111" s="6" t="s">
        <v>915</v>
      </c>
      <c r="F111" s="33" t="s">
        <v>1990</v>
      </c>
      <c r="G111" s="9" t="s">
        <v>1999</v>
      </c>
      <c r="H111" s="33" t="s">
        <v>1990</v>
      </c>
      <c r="I111" s="33" t="s">
        <v>1993</v>
      </c>
      <c r="J111" s="5" t="s">
        <v>1275</v>
      </c>
      <c r="K111" s="6" t="s">
        <v>1989</v>
      </c>
      <c r="L111" s="6" t="s">
        <v>514</v>
      </c>
      <c r="M111" s="49" t="s">
        <v>469</v>
      </c>
      <c r="N111" s="6" t="s">
        <v>1663</v>
      </c>
      <c r="P111" s="6"/>
      <c r="Q111" s="5"/>
      <c r="R111" s="5"/>
      <c r="S111" s="5"/>
    </row>
    <row r="112" spans="2:19" ht="16.5" customHeight="1" x14ac:dyDescent="0.2">
      <c r="B112" s="6">
        <v>349</v>
      </c>
      <c r="C112" s="6">
        <v>149</v>
      </c>
      <c r="D112" s="33" t="s">
        <v>1923</v>
      </c>
      <c r="E112" s="6" t="s">
        <v>915</v>
      </c>
      <c r="F112" s="33" t="s">
        <v>1991</v>
      </c>
      <c r="G112" s="9" t="s">
        <v>2000</v>
      </c>
      <c r="H112" s="33" t="s">
        <v>1991</v>
      </c>
      <c r="I112" s="33" t="s">
        <v>1994</v>
      </c>
      <c r="J112" s="5" t="s">
        <v>1275</v>
      </c>
      <c r="K112" s="6" t="s">
        <v>1989</v>
      </c>
      <c r="L112" s="6" t="s">
        <v>514</v>
      </c>
      <c r="M112" s="49" t="s">
        <v>469</v>
      </c>
      <c r="N112" s="6" t="s">
        <v>1663</v>
      </c>
      <c r="P112" s="6"/>
      <c r="Q112" s="5"/>
      <c r="R112" s="5"/>
      <c r="S112" s="5"/>
    </row>
    <row r="113" spans="2:19" ht="16.5" customHeight="1" x14ac:dyDescent="0.2">
      <c r="B113" s="6">
        <v>345</v>
      </c>
      <c r="C113" s="6">
        <v>145</v>
      </c>
      <c r="D113" s="33" t="s">
        <v>1919</v>
      </c>
      <c r="E113" s="6" t="s">
        <v>915</v>
      </c>
      <c r="F113" s="33" t="s">
        <v>1984</v>
      </c>
      <c r="G113" s="9" t="s">
        <v>2005</v>
      </c>
      <c r="H113" s="33" t="s">
        <v>1984</v>
      </c>
      <c r="I113" s="33" t="s">
        <v>1985</v>
      </c>
      <c r="J113" s="5" t="s">
        <v>1275</v>
      </c>
      <c r="K113" s="6" t="s">
        <v>1975</v>
      </c>
      <c r="L113" s="6" t="s">
        <v>514</v>
      </c>
      <c r="M113" s="49" t="s">
        <v>469</v>
      </c>
      <c r="N113" s="6" t="s">
        <v>1663</v>
      </c>
      <c r="P113" s="6"/>
      <c r="Q113" s="5"/>
      <c r="R113" s="5"/>
      <c r="S113" s="5"/>
    </row>
    <row r="114" spans="2:19" ht="16.5" customHeight="1" x14ac:dyDescent="0.2">
      <c r="B114" s="6">
        <v>729</v>
      </c>
      <c r="C114" s="6">
        <v>29</v>
      </c>
      <c r="D114" s="33" t="s">
        <v>663</v>
      </c>
      <c r="E114" s="33" t="s">
        <v>2149</v>
      </c>
      <c r="F114" s="5" t="s">
        <v>674</v>
      </c>
      <c r="G114" s="59" t="s">
        <v>703</v>
      </c>
      <c r="H114" s="5" t="s">
        <v>674</v>
      </c>
      <c r="I114" s="33" t="s">
        <v>2169</v>
      </c>
      <c r="J114" s="5" t="s">
        <v>1138</v>
      </c>
      <c r="K114" s="5" t="s">
        <v>673</v>
      </c>
      <c r="L114" s="6" t="s">
        <v>514</v>
      </c>
      <c r="M114" s="6" t="s">
        <v>582</v>
      </c>
      <c r="N114" s="6" t="s">
        <v>1666</v>
      </c>
      <c r="P114" s="6">
        <v>1</v>
      </c>
      <c r="Q114" s="5"/>
      <c r="R114" s="5"/>
      <c r="S114" s="5"/>
    </row>
    <row r="115" spans="2:19" ht="16.5" customHeight="1" x14ac:dyDescent="0.2">
      <c r="B115" s="6">
        <v>728</v>
      </c>
      <c r="C115" s="6">
        <v>28</v>
      </c>
      <c r="D115" s="33" t="s">
        <v>662</v>
      </c>
      <c r="E115" s="33" t="s">
        <v>2148</v>
      </c>
      <c r="F115" s="5" t="s">
        <v>672</v>
      </c>
      <c r="G115" s="59" t="s">
        <v>704</v>
      </c>
      <c r="H115" s="5" t="s">
        <v>672</v>
      </c>
      <c r="I115" s="33" t="s">
        <v>2168</v>
      </c>
      <c r="J115" s="5" t="s">
        <v>1138</v>
      </c>
      <c r="K115" s="5" t="s">
        <v>673</v>
      </c>
      <c r="L115" s="6" t="s">
        <v>514</v>
      </c>
      <c r="M115" s="6" t="s">
        <v>582</v>
      </c>
      <c r="N115" s="6" t="s">
        <v>1666</v>
      </c>
      <c r="P115" s="6">
        <v>1</v>
      </c>
      <c r="Q115" s="5"/>
      <c r="R115" s="5"/>
      <c r="S115" s="5"/>
    </row>
    <row r="116" spans="2:19" ht="16.5" customHeight="1" x14ac:dyDescent="0.2">
      <c r="B116" s="6">
        <v>730</v>
      </c>
      <c r="C116" s="6">
        <v>30</v>
      </c>
      <c r="D116" s="33" t="s">
        <v>664</v>
      </c>
      <c r="E116" s="33" t="s">
        <v>2150</v>
      </c>
      <c r="F116" s="5" t="s">
        <v>675</v>
      </c>
      <c r="G116" s="59" t="s">
        <v>705</v>
      </c>
      <c r="H116" s="5" t="s">
        <v>675</v>
      </c>
      <c r="I116" s="33" t="s">
        <v>2170</v>
      </c>
      <c r="J116" s="5" t="s">
        <v>1138</v>
      </c>
      <c r="K116" s="5" t="s">
        <v>673</v>
      </c>
      <c r="L116" s="6" t="s">
        <v>514</v>
      </c>
      <c r="M116" s="6" t="s">
        <v>582</v>
      </c>
      <c r="N116" s="6" t="s">
        <v>1666</v>
      </c>
      <c r="P116" s="6">
        <v>1</v>
      </c>
      <c r="Q116" s="5"/>
      <c r="R116" s="5"/>
      <c r="S116" s="5"/>
    </row>
    <row r="117" spans="2:19" ht="16.5" customHeight="1" x14ac:dyDescent="0.2">
      <c r="B117" s="6">
        <v>727</v>
      </c>
      <c r="C117" s="6">
        <v>27</v>
      </c>
      <c r="D117" s="33" t="s">
        <v>661</v>
      </c>
      <c r="E117" s="33" t="s">
        <v>2147</v>
      </c>
      <c r="F117" s="5" t="s">
        <v>671</v>
      </c>
      <c r="G117" s="45" t="s">
        <v>2402</v>
      </c>
      <c r="H117" s="5" t="s">
        <v>671</v>
      </c>
      <c r="I117" s="33" t="s">
        <v>2167</v>
      </c>
      <c r="J117" s="5" t="s">
        <v>1138</v>
      </c>
      <c r="K117" s="5" t="s">
        <v>48</v>
      </c>
      <c r="L117" s="6" t="s">
        <v>541</v>
      </c>
      <c r="M117" s="6" t="s">
        <v>582</v>
      </c>
      <c r="N117" s="6" t="s">
        <v>1666</v>
      </c>
      <c r="P117" s="6">
        <v>1</v>
      </c>
      <c r="Q117" s="5"/>
      <c r="R117" s="5"/>
      <c r="S117" s="5"/>
    </row>
    <row r="118" spans="2:19" ht="16.5" customHeight="1" x14ac:dyDescent="0.2">
      <c r="B118" s="6">
        <v>736</v>
      </c>
      <c r="C118" s="6">
        <v>36</v>
      </c>
      <c r="D118" s="33" t="s">
        <v>670</v>
      </c>
      <c r="E118" s="33" t="s">
        <v>2156</v>
      </c>
      <c r="F118" s="5" t="s">
        <v>680</v>
      </c>
      <c r="G118" s="67" t="s">
        <v>2403</v>
      </c>
      <c r="H118" s="5" t="s">
        <v>680</v>
      </c>
      <c r="I118" s="33" t="s">
        <v>681</v>
      </c>
      <c r="J118" s="5" t="s">
        <v>1138</v>
      </c>
      <c r="K118" s="5" t="s">
        <v>48</v>
      </c>
      <c r="L118" s="6" t="s">
        <v>541</v>
      </c>
      <c r="M118" s="6" t="s">
        <v>582</v>
      </c>
      <c r="N118" s="6" t="s">
        <v>1666</v>
      </c>
      <c r="O118" s="6" t="s">
        <v>603</v>
      </c>
      <c r="P118" s="6">
        <v>1</v>
      </c>
      <c r="Q118" s="5"/>
      <c r="R118" s="5"/>
      <c r="S118" s="5"/>
    </row>
    <row r="119" spans="2:19" ht="16.5" customHeight="1" x14ac:dyDescent="0.2">
      <c r="B119" s="6">
        <v>732</v>
      </c>
      <c r="C119" s="6">
        <v>32</v>
      </c>
      <c r="D119" s="33" t="s">
        <v>666</v>
      </c>
      <c r="E119" s="33" t="s">
        <v>2152</v>
      </c>
      <c r="F119" s="5" t="s">
        <v>682</v>
      </c>
      <c r="G119" s="5" t="s">
        <v>1139</v>
      </c>
      <c r="H119" s="5" t="s">
        <v>682</v>
      </c>
      <c r="I119" s="33" t="s">
        <v>683</v>
      </c>
      <c r="J119" s="5" t="s">
        <v>1138</v>
      </c>
      <c r="K119" s="5" t="s">
        <v>48</v>
      </c>
      <c r="L119" s="6" t="s">
        <v>541</v>
      </c>
      <c r="M119" s="6" t="s">
        <v>582</v>
      </c>
      <c r="N119" s="6" t="s">
        <v>1666</v>
      </c>
      <c r="P119" s="6">
        <v>1</v>
      </c>
      <c r="Q119" s="5"/>
      <c r="R119" s="5"/>
      <c r="S119" s="5"/>
    </row>
    <row r="120" spans="2:19" ht="16.5" customHeight="1" x14ac:dyDescent="0.2">
      <c r="B120" s="6">
        <v>380</v>
      </c>
      <c r="C120" s="6">
        <v>180</v>
      </c>
      <c r="D120" s="33" t="s">
        <v>2225</v>
      </c>
      <c r="E120" s="6" t="s">
        <v>915</v>
      </c>
      <c r="F120" s="33" t="s">
        <v>2227</v>
      </c>
      <c r="G120" s="9" t="s">
        <v>265</v>
      </c>
      <c r="H120" s="33" t="s">
        <v>2227</v>
      </c>
      <c r="I120" s="33" t="s">
        <v>2228</v>
      </c>
      <c r="J120" s="5" t="s">
        <v>1138</v>
      </c>
      <c r="K120" s="6" t="s">
        <v>218</v>
      </c>
      <c r="L120" s="6" t="s">
        <v>514</v>
      </c>
      <c r="M120" s="49" t="s">
        <v>469</v>
      </c>
      <c r="N120" s="6" t="s">
        <v>1663</v>
      </c>
      <c r="P120" s="6"/>
      <c r="Q120" s="5"/>
      <c r="R120" s="5"/>
      <c r="S120" s="5"/>
    </row>
    <row r="121" spans="2:19" ht="16.5" customHeight="1" x14ac:dyDescent="0.2">
      <c r="B121" s="6">
        <v>202</v>
      </c>
      <c r="C121" s="6">
        <v>2</v>
      </c>
      <c r="D121" s="33" t="s">
        <v>842</v>
      </c>
      <c r="E121" s="6" t="s">
        <v>915</v>
      </c>
      <c r="F121" s="5" t="s">
        <v>846</v>
      </c>
      <c r="G121" s="5" t="s">
        <v>1861</v>
      </c>
      <c r="H121" s="5" t="s">
        <v>846</v>
      </c>
      <c r="I121" s="33" t="s">
        <v>847</v>
      </c>
      <c r="J121" s="5" t="s">
        <v>1138</v>
      </c>
      <c r="K121" s="5" t="s">
        <v>822</v>
      </c>
      <c r="L121" s="6" t="s">
        <v>541</v>
      </c>
      <c r="M121" s="6" t="s">
        <v>469</v>
      </c>
      <c r="N121" s="49" t="s">
        <v>1663</v>
      </c>
      <c r="O121" s="49"/>
      <c r="P121" s="6">
        <v>1</v>
      </c>
      <c r="Q121" s="5"/>
      <c r="R121" s="5"/>
      <c r="S121" s="5"/>
    </row>
    <row r="122" spans="2:19" ht="16.5" customHeight="1" x14ac:dyDescent="0.2">
      <c r="B122" s="6">
        <v>203</v>
      </c>
      <c r="C122" s="6">
        <v>3</v>
      </c>
      <c r="D122" s="33" t="s">
        <v>841</v>
      </c>
      <c r="E122" s="6" t="s">
        <v>915</v>
      </c>
      <c r="F122" s="5" t="s">
        <v>848</v>
      </c>
      <c r="G122" s="5" t="s">
        <v>1862</v>
      </c>
      <c r="H122" s="5" t="s">
        <v>848</v>
      </c>
      <c r="I122" s="33" t="s">
        <v>849</v>
      </c>
      <c r="J122" s="5" t="s">
        <v>1138</v>
      </c>
      <c r="K122" s="5" t="s">
        <v>822</v>
      </c>
      <c r="L122" s="6" t="s">
        <v>541</v>
      </c>
      <c r="M122" s="6" t="s">
        <v>469</v>
      </c>
      <c r="N122" s="49" t="s">
        <v>1663</v>
      </c>
      <c r="O122" s="49"/>
      <c r="P122" s="6">
        <v>1</v>
      </c>
      <c r="Q122" s="5"/>
      <c r="R122" s="5"/>
      <c r="S122" s="5"/>
    </row>
    <row r="123" spans="2:19" ht="16.5" customHeight="1" x14ac:dyDescent="0.2">
      <c r="B123" s="6">
        <f>200+Tabla3[[#This Row],[interno]]</f>
        <v>201</v>
      </c>
      <c r="C123" s="6">
        <v>1</v>
      </c>
      <c r="D123" s="33" t="s">
        <v>843</v>
      </c>
      <c r="E123" s="6" t="s">
        <v>915</v>
      </c>
      <c r="F123" s="45" t="s">
        <v>844</v>
      </c>
      <c r="G123" s="5" t="s">
        <v>1863</v>
      </c>
      <c r="H123" s="5" t="s">
        <v>844</v>
      </c>
      <c r="I123" s="33" t="s">
        <v>845</v>
      </c>
      <c r="J123" s="5" t="s">
        <v>1138</v>
      </c>
      <c r="K123" s="5" t="s">
        <v>822</v>
      </c>
      <c r="L123" s="6" t="s">
        <v>541</v>
      </c>
      <c r="M123" s="6" t="s">
        <v>469</v>
      </c>
      <c r="N123" s="49" t="s">
        <v>1663</v>
      </c>
      <c r="O123" s="49"/>
      <c r="P123" s="6">
        <v>1</v>
      </c>
      <c r="Q123" s="5"/>
      <c r="R123" s="5"/>
      <c r="S123" s="5"/>
    </row>
    <row r="124" spans="2:19" ht="16.5" customHeight="1" x14ac:dyDescent="0.2">
      <c r="B124" s="6">
        <v>453</v>
      </c>
      <c r="C124" s="6">
        <v>253</v>
      </c>
      <c r="D124" s="33" t="s">
        <v>2386</v>
      </c>
      <c r="E124" s="6"/>
      <c r="F124" s="45" t="s">
        <v>839</v>
      </c>
      <c r="G124" s="5" t="s">
        <v>1864</v>
      </c>
      <c r="H124" s="5" t="s">
        <v>839</v>
      </c>
      <c r="I124" s="48" t="s">
        <v>840</v>
      </c>
      <c r="J124" s="5" t="s">
        <v>1138</v>
      </c>
      <c r="K124" s="5" t="s">
        <v>822</v>
      </c>
      <c r="L124" s="6" t="s">
        <v>541</v>
      </c>
      <c r="M124" s="6" t="s">
        <v>469</v>
      </c>
      <c r="N124" s="49" t="s">
        <v>1663</v>
      </c>
      <c r="O124" s="43"/>
      <c r="P124" s="6"/>
      <c r="Q124" s="5"/>
      <c r="R124" s="5"/>
      <c r="S124" s="5"/>
    </row>
    <row r="125" spans="2:19" ht="16.5" customHeight="1" x14ac:dyDescent="0.2">
      <c r="B125" s="6">
        <f>600+Tabla3[[#This Row],[interno]]</f>
        <v>609</v>
      </c>
      <c r="C125" s="6">
        <v>9</v>
      </c>
      <c r="D125" s="81">
        <v>3316056795</v>
      </c>
      <c r="E125" s="82" t="s">
        <v>832</v>
      </c>
      <c r="F125" s="83" t="s">
        <v>835</v>
      </c>
      <c r="G125" s="75" t="s">
        <v>1865</v>
      </c>
      <c r="H125" s="75" t="s">
        <v>835</v>
      </c>
      <c r="I125" s="84" t="s">
        <v>836</v>
      </c>
      <c r="J125" s="75" t="s">
        <v>1138</v>
      </c>
      <c r="K125" s="75" t="s">
        <v>822</v>
      </c>
      <c r="L125" s="77" t="s">
        <v>541</v>
      </c>
      <c r="M125" s="74" t="s">
        <v>582</v>
      </c>
      <c r="N125" s="76" t="s">
        <v>1665</v>
      </c>
      <c r="O125" s="76"/>
      <c r="P125" s="6">
        <v>1</v>
      </c>
      <c r="Q125" s="5"/>
      <c r="R125" s="5"/>
      <c r="S125" s="5"/>
    </row>
    <row r="126" spans="2:19" ht="16.5" customHeight="1" x14ac:dyDescent="0.2">
      <c r="B126" s="6">
        <v>204</v>
      </c>
      <c r="C126" s="6">
        <v>4</v>
      </c>
      <c r="D126" s="33" t="s">
        <v>860</v>
      </c>
      <c r="E126" s="6" t="s">
        <v>915</v>
      </c>
      <c r="F126" s="5" t="s">
        <v>889</v>
      </c>
      <c r="G126" s="5" t="s">
        <v>1140</v>
      </c>
      <c r="H126" s="5" t="s">
        <v>889</v>
      </c>
      <c r="I126" s="53" t="s">
        <v>890</v>
      </c>
      <c r="J126" s="5" t="s">
        <v>1138</v>
      </c>
      <c r="K126" s="5" t="s">
        <v>53</v>
      </c>
      <c r="L126" s="6" t="s">
        <v>514</v>
      </c>
      <c r="M126" s="6" t="s">
        <v>469</v>
      </c>
      <c r="N126" s="49" t="s">
        <v>1663</v>
      </c>
      <c r="O126" s="49"/>
      <c r="P126" s="6">
        <v>1</v>
      </c>
      <c r="Q126" s="5"/>
      <c r="R126" s="5"/>
      <c r="S126" s="5"/>
    </row>
    <row r="127" spans="2:19" ht="16.5" customHeight="1" x14ac:dyDescent="0.2">
      <c r="B127" s="6">
        <f>600+Tabla3[[#This Row],[interno]]</f>
        <v>633</v>
      </c>
      <c r="C127" s="6">
        <v>33</v>
      </c>
      <c r="D127" s="80">
        <v>3781166878</v>
      </c>
      <c r="E127" s="47" t="s">
        <v>833</v>
      </c>
      <c r="F127" s="45" t="s">
        <v>837</v>
      </c>
      <c r="G127" s="5" t="s">
        <v>1866</v>
      </c>
      <c r="H127" s="5" t="s">
        <v>837</v>
      </c>
      <c r="I127" s="48" t="s">
        <v>838</v>
      </c>
      <c r="J127" s="5" t="s">
        <v>1138</v>
      </c>
      <c r="K127" s="5" t="s">
        <v>822</v>
      </c>
      <c r="L127" s="6" t="s">
        <v>541</v>
      </c>
      <c r="M127" s="6" t="s">
        <v>469</v>
      </c>
      <c r="N127" s="49" t="s">
        <v>1665</v>
      </c>
      <c r="O127" s="49"/>
      <c r="P127" s="6">
        <v>1</v>
      </c>
      <c r="Q127" s="5"/>
      <c r="R127" s="5"/>
      <c r="S127" s="5"/>
    </row>
    <row r="128" spans="2:19" ht="16.5" customHeight="1" x14ac:dyDescent="0.2">
      <c r="B128" s="6">
        <v>735</v>
      </c>
      <c r="C128" s="6">
        <v>35</v>
      </c>
      <c r="D128" s="33" t="s">
        <v>669</v>
      </c>
      <c r="E128" s="33" t="s">
        <v>2155</v>
      </c>
      <c r="F128" s="5" t="s">
        <v>858</v>
      </c>
      <c r="G128" s="5" t="s">
        <v>1141</v>
      </c>
      <c r="H128" s="5" t="s">
        <v>858</v>
      </c>
      <c r="I128" s="33" t="s">
        <v>859</v>
      </c>
      <c r="J128" s="5" t="s">
        <v>1138</v>
      </c>
      <c r="K128" s="5" t="s">
        <v>184</v>
      </c>
      <c r="L128" s="6" t="s">
        <v>514</v>
      </c>
      <c r="M128" s="6" t="s">
        <v>469</v>
      </c>
      <c r="N128" s="6" t="s">
        <v>1666</v>
      </c>
      <c r="P128" s="6">
        <v>1</v>
      </c>
      <c r="Q128" s="5"/>
      <c r="R128" s="5"/>
      <c r="S128" s="5"/>
    </row>
    <row r="129" spans="2:19" ht="16.5" customHeight="1" x14ac:dyDescent="0.2">
      <c r="B129" s="6">
        <v>205</v>
      </c>
      <c r="C129" s="6">
        <v>5</v>
      </c>
      <c r="D129" s="33" t="s">
        <v>861</v>
      </c>
      <c r="E129" s="6" t="s">
        <v>915</v>
      </c>
      <c r="F129" s="5" t="s">
        <v>908</v>
      </c>
      <c r="G129" s="5" t="s">
        <v>1867</v>
      </c>
      <c r="H129" s="5" t="s">
        <v>908</v>
      </c>
      <c r="I129" s="45" t="s">
        <v>909</v>
      </c>
      <c r="J129" s="5" t="s">
        <v>1138</v>
      </c>
      <c r="K129" s="5" t="s">
        <v>822</v>
      </c>
      <c r="L129" s="6" t="s">
        <v>541</v>
      </c>
      <c r="M129" s="6" t="s">
        <v>469</v>
      </c>
      <c r="N129" s="49" t="s">
        <v>1663</v>
      </c>
      <c r="O129" s="49"/>
      <c r="P129" s="6">
        <v>1</v>
      </c>
      <c r="Q129" s="5"/>
      <c r="R129" s="5"/>
      <c r="S129" s="5"/>
    </row>
    <row r="130" spans="2:19" ht="16.5" customHeight="1" x14ac:dyDescent="0.2">
      <c r="B130" s="6">
        <v>206</v>
      </c>
      <c r="C130" s="6">
        <v>6</v>
      </c>
      <c r="D130" s="33" t="s">
        <v>862</v>
      </c>
      <c r="E130" s="6" t="s">
        <v>915</v>
      </c>
      <c r="F130" s="5" t="s">
        <v>910</v>
      </c>
      <c r="G130" s="5" t="s">
        <v>1868</v>
      </c>
      <c r="H130" s="5" t="s">
        <v>910</v>
      </c>
      <c r="I130" s="45" t="s">
        <v>911</v>
      </c>
      <c r="J130" s="5" t="s">
        <v>1138</v>
      </c>
      <c r="K130" s="5" t="s">
        <v>822</v>
      </c>
      <c r="L130" s="6" t="s">
        <v>541</v>
      </c>
      <c r="M130" s="6" t="s">
        <v>469</v>
      </c>
      <c r="N130" s="49" t="s">
        <v>1663</v>
      </c>
      <c r="O130" s="49"/>
      <c r="P130" s="6">
        <v>1</v>
      </c>
      <c r="Q130" s="5"/>
      <c r="R130" s="5"/>
      <c r="S130" s="5"/>
    </row>
    <row r="131" spans="2:19" ht="16.5" customHeight="1" x14ac:dyDescent="0.2">
      <c r="B131" s="6">
        <v>207</v>
      </c>
      <c r="C131" s="6">
        <v>7</v>
      </c>
      <c r="D131" s="33" t="s">
        <v>863</v>
      </c>
      <c r="E131" s="6" t="s">
        <v>915</v>
      </c>
      <c r="F131" s="5" t="s">
        <v>912</v>
      </c>
      <c r="G131" s="5" t="s">
        <v>940</v>
      </c>
      <c r="H131" s="5" t="s">
        <v>912</v>
      </c>
      <c r="I131" s="45" t="s">
        <v>913</v>
      </c>
      <c r="J131" s="5" t="s">
        <v>1138</v>
      </c>
      <c r="K131" s="5" t="s">
        <v>48</v>
      </c>
      <c r="L131" s="6" t="s">
        <v>541</v>
      </c>
      <c r="M131" s="6" t="s">
        <v>469</v>
      </c>
      <c r="N131" s="49" t="s">
        <v>1663</v>
      </c>
      <c r="O131" s="49"/>
      <c r="P131" s="6">
        <v>1</v>
      </c>
      <c r="Q131" s="5"/>
      <c r="R131" s="5"/>
      <c r="S131" s="5"/>
    </row>
    <row r="132" spans="2:19" ht="16.5" customHeight="1" x14ac:dyDescent="0.2">
      <c r="B132" s="6">
        <v>208</v>
      </c>
      <c r="C132" s="6">
        <v>8</v>
      </c>
      <c r="D132" s="33" t="s">
        <v>864</v>
      </c>
      <c r="E132" s="6" t="s">
        <v>915</v>
      </c>
      <c r="F132" s="5" t="s">
        <v>906</v>
      </c>
      <c r="G132" s="5" t="s">
        <v>1882</v>
      </c>
      <c r="H132" s="5" t="s">
        <v>906</v>
      </c>
      <c r="I132" s="45" t="s">
        <v>907</v>
      </c>
      <c r="J132" s="5" t="s">
        <v>1138</v>
      </c>
      <c r="K132" s="5" t="s">
        <v>123</v>
      </c>
      <c r="L132" s="6" t="s">
        <v>541</v>
      </c>
      <c r="M132" s="6" t="s">
        <v>469</v>
      </c>
      <c r="N132" s="49" t="s">
        <v>1663</v>
      </c>
      <c r="O132" s="49"/>
      <c r="P132" s="6">
        <v>1</v>
      </c>
      <c r="Q132" s="5"/>
      <c r="R132" s="5"/>
      <c r="S132" s="5"/>
    </row>
    <row r="133" spans="2:19" ht="16.5" customHeight="1" x14ac:dyDescent="0.2">
      <c r="B133" s="6">
        <v>901</v>
      </c>
      <c r="C133" s="6">
        <v>1</v>
      </c>
      <c r="D133" s="33" t="s">
        <v>865</v>
      </c>
      <c r="E133" s="6" t="s">
        <v>915</v>
      </c>
      <c r="F133" s="5" t="s">
        <v>904</v>
      </c>
      <c r="G133" s="5" t="s">
        <v>941</v>
      </c>
      <c r="H133" s="5" t="s">
        <v>904</v>
      </c>
      <c r="I133" s="45" t="s">
        <v>905</v>
      </c>
      <c r="J133" s="5" t="s">
        <v>1138</v>
      </c>
      <c r="K133" s="5" t="s">
        <v>1094</v>
      </c>
      <c r="L133" s="6" t="s">
        <v>514</v>
      </c>
      <c r="M133" s="6" t="s">
        <v>469</v>
      </c>
      <c r="N133" s="49" t="s">
        <v>2179</v>
      </c>
      <c r="O133" s="49" t="s">
        <v>2425</v>
      </c>
      <c r="P133" s="6">
        <v>1</v>
      </c>
      <c r="Q133" s="5"/>
      <c r="R133" s="5"/>
      <c r="S133" s="5"/>
    </row>
    <row r="134" spans="2:19" ht="16.5" customHeight="1" x14ac:dyDescent="0.2">
      <c r="B134" s="6">
        <v>209</v>
      </c>
      <c r="C134" s="6">
        <v>9</v>
      </c>
      <c r="D134" s="33" t="s">
        <v>866</v>
      </c>
      <c r="E134" s="6" t="s">
        <v>915</v>
      </c>
      <c r="F134" s="5" t="s">
        <v>902</v>
      </c>
      <c r="G134" s="5" t="s">
        <v>942</v>
      </c>
      <c r="H134" s="5" t="s">
        <v>902</v>
      </c>
      <c r="I134" s="45" t="s">
        <v>903</v>
      </c>
      <c r="J134" s="5" t="s">
        <v>1138</v>
      </c>
      <c r="K134" s="5" t="s">
        <v>917</v>
      </c>
      <c r="L134" s="6" t="s">
        <v>514</v>
      </c>
      <c r="M134" s="6" t="s">
        <v>469</v>
      </c>
      <c r="N134" s="49" t="s">
        <v>1663</v>
      </c>
      <c r="O134" s="6" t="s">
        <v>2515</v>
      </c>
      <c r="P134" s="6">
        <v>1</v>
      </c>
      <c r="Q134" s="5"/>
      <c r="R134" s="5"/>
      <c r="S134" s="5"/>
    </row>
    <row r="135" spans="2:19" ht="16.5" customHeight="1" x14ac:dyDescent="0.2">
      <c r="B135" s="6">
        <v>210</v>
      </c>
      <c r="C135" s="6">
        <v>10</v>
      </c>
      <c r="D135" s="33" t="s">
        <v>867</v>
      </c>
      <c r="E135" s="6" t="s">
        <v>915</v>
      </c>
      <c r="F135" s="5" t="s">
        <v>900</v>
      </c>
      <c r="G135" s="5" t="s">
        <v>943</v>
      </c>
      <c r="H135" s="5" t="s">
        <v>900</v>
      </c>
      <c r="I135" s="45" t="s">
        <v>901</v>
      </c>
      <c r="J135" s="5" t="s">
        <v>1138</v>
      </c>
      <c r="K135" s="5" t="s">
        <v>917</v>
      </c>
      <c r="L135" s="6" t="s">
        <v>514</v>
      </c>
      <c r="M135" s="6" t="s">
        <v>469</v>
      </c>
      <c r="N135" s="49" t="s">
        <v>1663</v>
      </c>
      <c r="O135" s="6" t="s">
        <v>2515</v>
      </c>
      <c r="P135" s="6">
        <v>1</v>
      </c>
      <c r="Q135" s="5"/>
      <c r="R135" s="5"/>
      <c r="S135" s="5"/>
    </row>
    <row r="136" spans="2:19" ht="16.5" customHeight="1" x14ac:dyDescent="0.2">
      <c r="B136" s="6">
        <v>211</v>
      </c>
      <c r="C136" s="6">
        <v>11</v>
      </c>
      <c r="D136" s="33" t="s">
        <v>868</v>
      </c>
      <c r="E136" s="6" t="s">
        <v>915</v>
      </c>
      <c r="F136" s="5" t="s">
        <v>898</v>
      </c>
      <c r="G136" s="5" t="s">
        <v>944</v>
      </c>
      <c r="H136" s="5" t="s">
        <v>898</v>
      </c>
      <c r="I136" s="45" t="s">
        <v>899</v>
      </c>
      <c r="J136" s="5" t="s">
        <v>1138</v>
      </c>
      <c r="K136" s="5" t="s">
        <v>917</v>
      </c>
      <c r="L136" s="6" t="s">
        <v>514</v>
      </c>
      <c r="M136" s="6" t="s">
        <v>469</v>
      </c>
      <c r="N136" s="49" t="s">
        <v>1663</v>
      </c>
      <c r="O136" s="6" t="s">
        <v>2515</v>
      </c>
      <c r="P136" s="6">
        <v>1</v>
      </c>
      <c r="Q136" s="5"/>
      <c r="R136" s="5"/>
      <c r="S136" s="5"/>
    </row>
    <row r="137" spans="2:19" ht="16.5" customHeight="1" x14ac:dyDescent="0.2">
      <c r="B137" s="6">
        <v>212</v>
      </c>
      <c r="C137" s="6">
        <v>12</v>
      </c>
      <c r="D137" s="33" t="s">
        <v>869</v>
      </c>
      <c r="E137" s="6" t="s">
        <v>915</v>
      </c>
      <c r="F137" s="5" t="s">
        <v>896</v>
      </c>
      <c r="G137" s="5" t="s">
        <v>2475</v>
      </c>
      <c r="H137" s="5" t="s">
        <v>896</v>
      </c>
      <c r="I137" s="45" t="s">
        <v>897</v>
      </c>
      <c r="J137" s="5" t="s">
        <v>1138</v>
      </c>
      <c r="K137" s="5" t="s">
        <v>917</v>
      </c>
      <c r="L137" s="6" t="s">
        <v>514</v>
      </c>
      <c r="M137" s="6" t="s">
        <v>469</v>
      </c>
      <c r="N137" s="49" t="s">
        <v>1663</v>
      </c>
      <c r="O137" s="6" t="s">
        <v>2515</v>
      </c>
      <c r="P137" s="6">
        <v>1</v>
      </c>
      <c r="Q137" s="5"/>
      <c r="R137" s="5"/>
      <c r="S137" s="5"/>
    </row>
    <row r="138" spans="2:19" ht="16.5" customHeight="1" x14ac:dyDescent="0.2">
      <c r="B138" s="6">
        <v>213</v>
      </c>
      <c r="C138" s="6">
        <v>13</v>
      </c>
      <c r="D138" s="33" t="s">
        <v>870</v>
      </c>
      <c r="E138" s="6" t="s">
        <v>915</v>
      </c>
      <c r="F138" s="5" t="s">
        <v>918</v>
      </c>
      <c r="G138" s="5" t="s">
        <v>1142</v>
      </c>
      <c r="H138" s="5" t="s">
        <v>918</v>
      </c>
      <c r="I138" s="33" t="s">
        <v>927</v>
      </c>
      <c r="J138" s="5" t="s">
        <v>1138</v>
      </c>
      <c r="K138" s="5" t="s">
        <v>886</v>
      </c>
      <c r="L138" s="6" t="s">
        <v>514</v>
      </c>
      <c r="M138" s="6" t="s">
        <v>469</v>
      </c>
      <c r="N138" s="49" t="s">
        <v>1663</v>
      </c>
      <c r="O138" s="49"/>
      <c r="P138" s="6"/>
      <c r="Q138" s="5"/>
      <c r="R138" s="5"/>
      <c r="S138" s="5"/>
    </row>
    <row r="139" spans="2:19" ht="16.5" customHeight="1" x14ac:dyDescent="0.2">
      <c r="B139" s="6">
        <v>214</v>
      </c>
      <c r="C139" s="6">
        <v>14</v>
      </c>
      <c r="D139" s="33" t="s">
        <v>871</v>
      </c>
      <c r="E139" s="6" t="s">
        <v>915</v>
      </c>
      <c r="F139" s="5" t="s">
        <v>919</v>
      </c>
      <c r="G139" s="5" t="s">
        <v>1143</v>
      </c>
      <c r="H139" s="5" t="s">
        <v>919</v>
      </c>
      <c r="I139" s="33" t="s">
        <v>926</v>
      </c>
      <c r="J139" s="5" t="s">
        <v>1138</v>
      </c>
      <c r="K139" s="5" t="s">
        <v>886</v>
      </c>
      <c r="L139" s="6" t="s">
        <v>514</v>
      </c>
      <c r="M139" s="6" t="s">
        <v>469</v>
      </c>
      <c r="N139" s="49" t="s">
        <v>1663</v>
      </c>
      <c r="O139" s="49"/>
      <c r="P139" s="6"/>
      <c r="Q139" s="5"/>
      <c r="R139" s="5"/>
      <c r="S139" s="5"/>
    </row>
    <row r="140" spans="2:19" ht="16.5" customHeight="1" x14ac:dyDescent="0.2">
      <c r="B140" s="6">
        <v>215</v>
      </c>
      <c r="C140" s="6">
        <v>15</v>
      </c>
      <c r="D140" s="33" t="s">
        <v>872</v>
      </c>
      <c r="E140" s="6" t="s">
        <v>915</v>
      </c>
      <c r="F140" s="5" t="s">
        <v>920</v>
      </c>
      <c r="G140" s="5" t="s">
        <v>1144</v>
      </c>
      <c r="H140" s="5" t="s">
        <v>920</v>
      </c>
      <c r="I140" s="33" t="s">
        <v>925</v>
      </c>
      <c r="J140" s="5" t="s">
        <v>1138</v>
      </c>
      <c r="K140" s="5" t="s">
        <v>886</v>
      </c>
      <c r="L140" s="6" t="s">
        <v>514</v>
      </c>
      <c r="M140" s="6" t="s">
        <v>469</v>
      </c>
      <c r="N140" s="49" t="s">
        <v>1663</v>
      </c>
      <c r="O140" s="49"/>
      <c r="P140" s="6"/>
      <c r="Q140" s="5"/>
      <c r="R140" s="5"/>
      <c r="S140" s="5"/>
    </row>
    <row r="141" spans="2:19" ht="16.5" customHeight="1" x14ac:dyDescent="0.2">
      <c r="B141" s="6">
        <v>216</v>
      </c>
      <c r="C141" s="6">
        <v>16</v>
      </c>
      <c r="D141" s="33" t="s">
        <v>873</v>
      </c>
      <c r="E141" s="6" t="s">
        <v>915</v>
      </c>
      <c r="F141" s="5" t="s">
        <v>922</v>
      </c>
      <c r="G141" s="5" t="s">
        <v>1145</v>
      </c>
      <c r="H141" s="5" t="s">
        <v>922</v>
      </c>
      <c r="I141" s="33" t="s">
        <v>924</v>
      </c>
      <c r="J141" s="5" t="s">
        <v>1138</v>
      </c>
      <c r="K141" s="5" t="s">
        <v>886</v>
      </c>
      <c r="L141" s="6" t="s">
        <v>514</v>
      </c>
      <c r="M141" s="6" t="s">
        <v>469</v>
      </c>
      <c r="N141" s="49" t="s">
        <v>1663</v>
      </c>
      <c r="O141" s="49"/>
      <c r="P141" s="6"/>
      <c r="Q141" s="5"/>
      <c r="R141" s="5"/>
      <c r="S141" s="5"/>
    </row>
    <row r="142" spans="2:19" ht="16.5" customHeight="1" x14ac:dyDescent="0.2">
      <c r="B142" s="6">
        <v>217</v>
      </c>
      <c r="C142" s="6">
        <v>17</v>
      </c>
      <c r="D142" s="33" t="s">
        <v>874</v>
      </c>
      <c r="E142" s="6" t="s">
        <v>915</v>
      </c>
      <c r="F142" s="5" t="s">
        <v>921</v>
      </c>
      <c r="G142" s="5" t="s">
        <v>1146</v>
      </c>
      <c r="H142" s="5" t="s">
        <v>921</v>
      </c>
      <c r="I142" s="33" t="s">
        <v>923</v>
      </c>
      <c r="J142" s="5" t="s">
        <v>1138</v>
      </c>
      <c r="K142" s="5" t="s">
        <v>886</v>
      </c>
      <c r="L142" s="6" t="s">
        <v>514</v>
      </c>
      <c r="M142" s="6" t="s">
        <v>469</v>
      </c>
      <c r="N142" s="49" t="s">
        <v>1663</v>
      </c>
      <c r="O142" s="49"/>
      <c r="P142" s="6"/>
      <c r="Q142" s="5"/>
      <c r="R142" s="5"/>
      <c r="S142" s="5"/>
    </row>
    <row r="143" spans="2:19" ht="16.5" customHeight="1" x14ac:dyDescent="0.2">
      <c r="B143" s="6">
        <v>219</v>
      </c>
      <c r="C143" s="6">
        <v>19</v>
      </c>
      <c r="D143" s="33" t="s">
        <v>876</v>
      </c>
      <c r="E143" s="6" t="s">
        <v>915</v>
      </c>
      <c r="F143" s="5" t="s">
        <v>949</v>
      </c>
      <c r="G143" s="5" t="s">
        <v>1883</v>
      </c>
      <c r="H143" s="5" t="s">
        <v>949</v>
      </c>
      <c r="I143" s="33" t="s">
        <v>950</v>
      </c>
      <c r="J143" s="5" t="s">
        <v>1138</v>
      </c>
      <c r="K143" s="5" t="s">
        <v>123</v>
      </c>
      <c r="L143" s="6" t="s">
        <v>514</v>
      </c>
      <c r="M143" s="6" t="s">
        <v>469</v>
      </c>
      <c r="N143" s="49" t="s">
        <v>1663</v>
      </c>
      <c r="O143" s="49"/>
      <c r="P143" s="6"/>
      <c r="Q143" s="5"/>
      <c r="R143" s="5"/>
      <c r="S143" s="5"/>
    </row>
    <row r="144" spans="2:19" ht="16.5" customHeight="1" x14ac:dyDescent="0.2">
      <c r="B144" s="6">
        <v>220</v>
      </c>
      <c r="C144" s="6">
        <v>20</v>
      </c>
      <c r="D144" s="33" t="s">
        <v>877</v>
      </c>
      <c r="E144" s="6" t="s">
        <v>915</v>
      </c>
      <c r="F144" s="5" t="s">
        <v>951</v>
      </c>
      <c r="G144" s="5" t="s">
        <v>1884</v>
      </c>
      <c r="H144" s="5" t="s">
        <v>951</v>
      </c>
      <c r="I144" s="33" t="s">
        <v>952</v>
      </c>
      <c r="J144" s="5" t="s">
        <v>1138</v>
      </c>
      <c r="K144" s="5" t="s">
        <v>123</v>
      </c>
      <c r="L144" s="6" t="s">
        <v>514</v>
      </c>
      <c r="M144" s="6" t="s">
        <v>469</v>
      </c>
      <c r="N144" s="49" t="s">
        <v>1663</v>
      </c>
      <c r="O144" s="49"/>
      <c r="P144" s="6"/>
      <c r="Q144" s="5"/>
      <c r="R144" s="5"/>
      <c r="S144" s="5"/>
    </row>
    <row r="145" spans="2:19" ht="16.5" customHeight="1" x14ac:dyDescent="0.2">
      <c r="B145" s="6">
        <v>733</v>
      </c>
      <c r="C145" s="6">
        <v>33</v>
      </c>
      <c r="D145" s="33" t="s">
        <v>667</v>
      </c>
      <c r="E145" s="33" t="s">
        <v>2153</v>
      </c>
      <c r="F145" s="5" t="s">
        <v>953</v>
      </c>
      <c r="G145" s="59" t="s">
        <v>1147</v>
      </c>
      <c r="H145" s="5" t="s">
        <v>953</v>
      </c>
      <c r="I145" s="33" t="s">
        <v>954</v>
      </c>
      <c r="J145" s="5" t="s">
        <v>1138</v>
      </c>
      <c r="K145" s="5" t="s">
        <v>44</v>
      </c>
      <c r="L145" s="6" t="s">
        <v>540</v>
      </c>
      <c r="M145" s="6" t="s">
        <v>582</v>
      </c>
      <c r="N145" s="6" t="s">
        <v>1666</v>
      </c>
      <c r="P145" s="6">
        <v>1</v>
      </c>
      <c r="Q145" s="5"/>
      <c r="R145" s="5"/>
      <c r="S145" s="5"/>
    </row>
    <row r="146" spans="2:19" ht="16.5" customHeight="1" x14ac:dyDescent="0.2">
      <c r="B146" s="6">
        <v>218</v>
      </c>
      <c r="C146" s="6">
        <v>18</v>
      </c>
      <c r="D146" s="33" t="s">
        <v>875</v>
      </c>
      <c r="E146" s="6" t="s">
        <v>915</v>
      </c>
      <c r="F146" s="5" t="s">
        <v>947</v>
      </c>
      <c r="G146" s="5" t="s">
        <v>955</v>
      </c>
      <c r="H146" s="5" t="s">
        <v>947</v>
      </c>
      <c r="I146" s="33" t="s">
        <v>948</v>
      </c>
      <c r="J146" s="5" t="s">
        <v>1138</v>
      </c>
      <c r="K146" s="5" t="s">
        <v>184</v>
      </c>
      <c r="L146" s="6" t="s">
        <v>514</v>
      </c>
      <c r="M146" s="6" t="s">
        <v>469</v>
      </c>
      <c r="N146" s="49" t="s">
        <v>1663</v>
      </c>
      <c r="O146" s="49"/>
      <c r="P146" s="6"/>
      <c r="Q146" s="5"/>
      <c r="R146" s="5"/>
      <c r="S146" s="5"/>
    </row>
    <row r="147" spans="2:19" ht="16.5" customHeight="1" x14ac:dyDescent="0.2">
      <c r="B147" s="6">
        <v>228</v>
      </c>
      <c r="C147" s="6">
        <v>28</v>
      </c>
      <c r="D147" s="33" t="s">
        <v>1010</v>
      </c>
      <c r="E147" s="6" t="s">
        <v>915</v>
      </c>
      <c r="F147" s="5" t="s">
        <v>1002</v>
      </c>
      <c r="G147" s="5" t="s">
        <v>1869</v>
      </c>
      <c r="H147" s="5" t="s">
        <v>1002</v>
      </c>
      <c r="I147" s="45" t="s">
        <v>1003</v>
      </c>
      <c r="J147" s="5" t="s">
        <v>1138</v>
      </c>
      <c r="K147" s="5" t="s">
        <v>822</v>
      </c>
      <c r="L147" s="6" t="s">
        <v>541</v>
      </c>
      <c r="M147" s="49" t="s">
        <v>469</v>
      </c>
      <c r="N147" s="49" t="s">
        <v>1663</v>
      </c>
      <c r="O147" s="49"/>
      <c r="P147" s="6"/>
      <c r="Q147" s="5" t="s">
        <v>977</v>
      </c>
      <c r="R147" s="5"/>
      <c r="S147" s="5"/>
    </row>
    <row r="148" spans="2:19" ht="16.5" customHeight="1" x14ac:dyDescent="0.2">
      <c r="B148" s="6">
        <v>229</v>
      </c>
      <c r="C148" s="6">
        <v>29</v>
      </c>
      <c r="D148" s="33" t="s">
        <v>1011</v>
      </c>
      <c r="E148" s="6" t="s">
        <v>915</v>
      </c>
      <c r="F148" s="5" t="s">
        <v>1000</v>
      </c>
      <c r="G148" s="5" t="s">
        <v>1870</v>
      </c>
      <c r="H148" s="5" t="s">
        <v>1000</v>
      </c>
      <c r="I148" s="45" t="s">
        <v>1001</v>
      </c>
      <c r="J148" s="5" t="s">
        <v>1138</v>
      </c>
      <c r="K148" s="5" t="s">
        <v>822</v>
      </c>
      <c r="L148" s="6" t="s">
        <v>541</v>
      </c>
      <c r="M148" s="49" t="s">
        <v>469</v>
      </c>
      <c r="N148" s="49" t="s">
        <v>1663</v>
      </c>
      <c r="O148" s="49"/>
      <c r="P148" s="6"/>
      <c r="Q148" s="5" t="s">
        <v>977</v>
      </c>
      <c r="R148" s="5"/>
      <c r="S148" s="5"/>
    </row>
    <row r="149" spans="2:19" ht="16.5" customHeight="1" x14ac:dyDescent="0.2">
      <c r="B149" s="6">
        <v>230</v>
      </c>
      <c r="C149" s="6">
        <v>30</v>
      </c>
      <c r="D149" s="33" t="s">
        <v>1012</v>
      </c>
      <c r="E149" s="6" t="s">
        <v>915</v>
      </c>
      <c r="F149" s="5" t="s">
        <v>998</v>
      </c>
      <c r="G149" s="5" t="s">
        <v>1727</v>
      </c>
      <c r="H149" s="5" t="s">
        <v>998</v>
      </c>
      <c r="I149" s="45" t="s">
        <v>999</v>
      </c>
      <c r="J149" s="5" t="s">
        <v>1138</v>
      </c>
      <c r="K149" s="6" t="s">
        <v>1781</v>
      </c>
      <c r="L149" s="6" t="s">
        <v>514</v>
      </c>
      <c r="M149" s="49" t="s">
        <v>469</v>
      </c>
      <c r="N149" s="49" t="s">
        <v>1663</v>
      </c>
      <c r="O149" s="49"/>
      <c r="P149" s="6"/>
      <c r="Q149" s="5" t="s">
        <v>977</v>
      </c>
      <c r="R149" s="5"/>
      <c r="S149" s="5"/>
    </row>
    <row r="150" spans="2:19" ht="16.5" customHeight="1" x14ac:dyDescent="0.2">
      <c r="B150" s="6">
        <v>231</v>
      </c>
      <c r="C150" s="6">
        <v>31</v>
      </c>
      <c r="D150" s="33" t="s">
        <v>1013</v>
      </c>
      <c r="E150" s="6" t="s">
        <v>915</v>
      </c>
      <c r="F150" s="5" t="s">
        <v>1008</v>
      </c>
      <c r="G150" s="45" t="s">
        <v>1232</v>
      </c>
      <c r="H150" s="5" t="s">
        <v>1008</v>
      </c>
      <c r="I150" s="45" t="s">
        <v>1009</v>
      </c>
      <c r="J150" s="5" t="s">
        <v>1138</v>
      </c>
      <c r="K150" s="5" t="s">
        <v>886</v>
      </c>
      <c r="L150" s="6" t="s">
        <v>541</v>
      </c>
      <c r="M150" s="49" t="s">
        <v>469</v>
      </c>
      <c r="N150" s="49" t="s">
        <v>1663</v>
      </c>
      <c r="O150" s="49"/>
      <c r="P150" s="6"/>
      <c r="Q150" s="5" t="s">
        <v>977</v>
      </c>
      <c r="R150" s="5"/>
      <c r="S150" s="5"/>
    </row>
    <row r="151" spans="2:19" ht="16.5" customHeight="1" x14ac:dyDescent="0.2">
      <c r="B151" s="6">
        <v>232</v>
      </c>
      <c r="C151" s="6">
        <v>32</v>
      </c>
      <c r="D151" s="54" t="s">
        <v>2411</v>
      </c>
      <c r="E151" s="6" t="s">
        <v>915</v>
      </c>
      <c r="F151" s="5" t="s">
        <v>1006</v>
      </c>
      <c r="G151" s="45" t="s">
        <v>1231</v>
      </c>
      <c r="H151" s="5" t="s">
        <v>1006</v>
      </c>
      <c r="I151" s="45" t="s">
        <v>1007</v>
      </c>
      <c r="J151" s="5" t="s">
        <v>1138</v>
      </c>
      <c r="K151" s="5" t="s">
        <v>886</v>
      </c>
      <c r="L151" s="6" t="s">
        <v>541</v>
      </c>
      <c r="M151" s="49" t="s">
        <v>469</v>
      </c>
      <c r="N151" s="49" t="s">
        <v>1663</v>
      </c>
      <c r="O151" s="49"/>
      <c r="P151" s="6"/>
      <c r="Q151" s="5" t="s">
        <v>977</v>
      </c>
      <c r="R151" s="5"/>
      <c r="S151" s="5"/>
    </row>
    <row r="152" spans="2:19" ht="16.5" customHeight="1" x14ac:dyDescent="0.2">
      <c r="B152" s="6">
        <v>233</v>
      </c>
      <c r="C152" s="6">
        <v>33</v>
      </c>
      <c r="D152" s="33" t="s">
        <v>1014</v>
      </c>
      <c r="E152" s="6" t="s">
        <v>915</v>
      </c>
      <c r="F152" s="5" t="s">
        <v>994</v>
      </c>
      <c r="G152" s="5" t="s">
        <v>1148</v>
      </c>
      <c r="H152" s="5" t="s">
        <v>994</v>
      </c>
      <c r="I152" s="45" t="s">
        <v>995</v>
      </c>
      <c r="J152" s="5" t="s">
        <v>1138</v>
      </c>
      <c r="K152" s="5" t="s">
        <v>886</v>
      </c>
      <c r="L152" s="6" t="s">
        <v>541</v>
      </c>
      <c r="M152" s="49" t="s">
        <v>469</v>
      </c>
      <c r="N152" s="49" t="s">
        <v>1663</v>
      </c>
      <c r="O152" s="49"/>
      <c r="P152" s="6"/>
      <c r="Q152" s="5" t="s">
        <v>977</v>
      </c>
      <c r="R152" s="5"/>
      <c r="S152" s="5"/>
    </row>
    <row r="153" spans="2:19" ht="16.5" customHeight="1" x14ac:dyDescent="0.2">
      <c r="B153" s="6">
        <v>221</v>
      </c>
      <c r="C153" s="6">
        <v>21</v>
      </c>
      <c r="D153" s="33" t="s">
        <v>878</v>
      </c>
      <c r="E153" s="6" t="s">
        <v>915</v>
      </c>
      <c r="F153" s="5" t="s">
        <v>956</v>
      </c>
      <c r="G153" s="5" t="s">
        <v>2689</v>
      </c>
      <c r="H153" s="45" t="s">
        <v>956</v>
      </c>
      <c r="I153" s="45" t="s">
        <v>957</v>
      </c>
      <c r="J153" s="5" t="s">
        <v>1138</v>
      </c>
      <c r="K153" s="5" t="s">
        <v>673</v>
      </c>
      <c r="L153" s="6" t="s">
        <v>514</v>
      </c>
      <c r="M153" s="6" t="s">
        <v>469</v>
      </c>
      <c r="N153" s="49" t="s">
        <v>1663</v>
      </c>
      <c r="O153" s="49"/>
      <c r="P153" s="6"/>
      <c r="Q153" s="5" t="s">
        <v>977</v>
      </c>
      <c r="R153" s="5"/>
      <c r="S153" s="5"/>
    </row>
    <row r="154" spans="2:19" ht="16.5" customHeight="1" x14ac:dyDescent="0.2">
      <c r="B154" s="6">
        <v>222</v>
      </c>
      <c r="C154" s="6">
        <v>22</v>
      </c>
      <c r="D154" s="33" t="s">
        <v>879</v>
      </c>
      <c r="E154" s="6" t="s">
        <v>915</v>
      </c>
      <c r="F154" s="5" t="s">
        <v>958</v>
      </c>
      <c r="G154" s="45" t="s">
        <v>2690</v>
      </c>
      <c r="H154" s="5" t="s">
        <v>958</v>
      </c>
      <c r="I154" s="45" t="s">
        <v>959</v>
      </c>
      <c r="J154" s="5" t="s">
        <v>1138</v>
      </c>
      <c r="K154" s="5" t="s">
        <v>673</v>
      </c>
      <c r="L154" s="6" t="s">
        <v>514</v>
      </c>
      <c r="M154" s="6" t="s">
        <v>469</v>
      </c>
      <c r="N154" s="49" t="s">
        <v>1663</v>
      </c>
      <c r="O154" s="49"/>
      <c r="P154" s="6"/>
      <c r="Q154" s="5" t="s">
        <v>977</v>
      </c>
      <c r="R154" s="5"/>
      <c r="S154" s="5"/>
    </row>
    <row r="155" spans="2:19" ht="16.5" customHeight="1" x14ac:dyDescent="0.2">
      <c r="B155" s="6">
        <v>223</v>
      </c>
      <c r="C155" s="6">
        <v>23</v>
      </c>
      <c r="D155" s="33" t="s">
        <v>880</v>
      </c>
      <c r="E155" s="6" t="s">
        <v>915</v>
      </c>
      <c r="F155" s="5" t="s">
        <v>960</v>
      </c>
      <c r="G155" s="5" t="s">
        <v>1149</v>
      </c>
      <c r="H155" s="5" t="s">
        <v>960</v>
      </c>
      <c r="I155" s="45" t="s">
        <v>961</v>
      </c>
      <c r="J155" s="5" t="s">
        <v>1138</v>
      </c>
      <c r="K155" s="5" t="s">
        <v>976</v>
      </c>
      <c r="L155" s="6" t="s">
        <v>514</v>
      </c>
      <c r="M155" s="6" t="s">
        <v>469</v>
      </c>
      <c r="N155" s="49" t="s">
        <v>1663</v>
      </c>
      <c r="O155" s="49"/>
      <c r="P155" s="6"/>
      <c r="Q155" s="5" t="s">
        <v>977</v>
      </c>
      <c r="R155" s="5"/>
      <c r="S155" s="5"/>
    </row>
    <row r="156" spans="2:19" ht="16.5" customHeight="1" x14ac:dyDescent="0.2">
      <c r="B156" s="6">
        <v>224</v>
      </c>
      <c r="C156" s="6">
        <v>24</v>
      </c>
      <c r="D156" s="33" t="s">
        <v>881</v>
      </c>
      <c r="E156" s="6" t="s">
        <v>915</v>
      </c>
      <c r="F156" s="5" t="s">
        <v>962</v>
      </c>
      <c r="G156" s="5" t="s">
        <v>1885</v>
      </c>
      <c r="H156" s="5" t="s">
        <v>962</v>
      </c>
      <c r="I156" s="45" t="s">
        <v>963</v>
      </c>
      <c r="J156" s="5" t="s">
        <v>1138</v>
      </c>
      <c r="K156" s="5" t="s">
        <v>123</v>
      </c>
      <c r="L156" s="6" t="s">
        <v>514</v>
      </c>
      <c r="M156" s="6" t="s">
        <v>469</v>
      </c>
      <c r="N156" s="49" t="s">
        <v>1663</v>
      </c>
      <c r="O156" s="49"/>
      <c r="P156" s="6"/>
      <c r="Q156" s="5" t="s">
        <v>977</v>
      </c>
      <c r="R156" s="5"/>
      <c r="S156" s="5"/>
    </row>
    <row r="157" spans="2:19" ht="16.5" customHeight="1" x14ac:dyDescent="0.2">
      <c r="B157" s="6">
        <v>225</v>
      </c>
      <c r="C157" s="6">
        <v>25</v>
      </c>
      <c r="D157" s="33" t="s">
        <v>882</v>
      </c>
      <c r="E157" s="6" t="s">
        <v>915</v>
      </c>
      <c r="F157" s="5" t="s">
        <v>966</v>
      </c>
      <c r="G157" s="5" t="s">
        <v>1886</v>
      </c>
      <c r="H157" s="5" t="s">
        <v>966</v>
      </c>
      <c r="I157" s="45" t="s">
        <v>967</v>
      </c>
      <c r="J157" s="5" t="s">
        <v>1138</v>
      </c>
      <c r="K157" s="5" t="s">
        <v>123</v>
      </c>
      <c r="L157" s="6" t="s">
        <v>514</v>
      </c>
      <c r="M157" s="6" t="s">
        <v>469</v>
      </c>
      <c r="N157" s="49" t="s">
        <v>1663</v>
      </c>
      <c r="O157" s="49"/>
      <c r="P157" s="6"/>
      <c r="Q157" s="5" t="s">
        <v>977</v>
      </c>
      <c r="R157" s="5"/>
      <c r="S157" s="5"/>
    </row>
    <row r="158" spans="2:19" ht="16.5" customHeight="1" x14ac:dyDescent="0.2">
      <c r="B158" s="6">
        <v>226</v>
      </c>
      <c r="C158" s="6">
        <v>26</v>
      </c>
      <c r="D158" s="33" t="s">
        <v>883</v>
      </c>
      <c r="E158" s="6" t="s">
        <v>915</v>
      </c>
      <c r="F158" s="5" t="s">
        <v>968</v>
      </c>
      <c r="G158" s="45" t="s">
        <v>1210</v>
      </c>
      <c r="H158" s="5" t="s">
        <v>968</v>
      </c>
      <c r="I158" s="45" t="s">
        <v>969</v>
      </c>
      <c r="J158" s="5" t="s">
        <v>1138</v>
      </c>
      <c r="K158" s="5" t="s">
        <v>309</v>
      </c>
      <c r="L158" s="6" t="s">
        <v>541</v>
      </c>
      <c r="M158" s="49" t="s">
        <v>469</v>
      </c>
      <c r="N158" s="49" t="s">
        <v>1663</v>
      </c>
      <c r="O158" s="49"/>
      <c r="P158" s="6"/>
      <c r="Q158" s="5" t="s">
        <v>977</v>
      </c>
      <c r="R158" s="5"/>
      <c r="S158" s="5"/>
    </row>
    <row r="159" spans="2:19" ht="16.5" customHeight="1" x14ac:dyDescent="0.2">
      <c r="B159" s="6">
        <v>227</v>
      </c>
      <c r="C159" s="6">
        <v>27</v>
      </c>
      <c r="D159" s="33" t="s">
        <v>884</v>
      </c>
      <c r="E159" s="6" t="s">
        <v>915</v>
      </c>
      <c r="F159" s="5" t="s">
        <v>970</v>
      </c>
      <c r="G159" s="5" t="s">
        <v>1279</v>
      </c>
      <c r="H159" s="5" t="s">
        <v>970</v>
      </c>
      <c r="I159" s="45" t="s">
        <v>971</v>
      </c>
      <c r="J159" s="5" t="s">
        <v>1138</v>
      </c>
      <c r="K159" s="5" t="s">
        <v>309</v>
      </c>
      <c r="L159" s="6" t="s">
        <v>541</v>
      </c>
      <c r="M159" s="49" t="s">
        <v>469</v>
      </c>
      <c r="N159" s="49" t="s">
        <v>1663</v>
      </c>
      <c r="O159" s="49"/>
      <c r="P159" s="6"/>
      <c r="Q159" s="5" t="s">
        <v>977</v>
      </c>
      <c r="R159" s="5"/>
      <c r="S159" s="5"/>
    </row>
    <row r="160" spans="2:19" ht="16.5" customHeight="1" x14ac:dyDescent="0.2">
      <c r="B160" s="6">
        <f>600+Tabla3[[#This Row],[interno]]</f>
        <v>626</v>
      </c>
      <c r="C160" s="6">
        <v>26</v>
      </c>
      <c r="D160" s="80">
        <v>3781165092</v>
      </c>
      <c r="E160" s="48" t="s">
        <v>978</v>
      </c>
      <c r="F160" s="45" t="s">
        <v>972</v>
      </c>
      <c r="G160" s="5" t="s">
        <v>1209</v>
      </c>
      <c r="H160" s="5" t="s">
        <v>972</v>
      </c>
      <c r="I160" s="45" t="s">
        <v>973</v>
      </c>
      <c r="J160" s="5" t="s">
        <v>1138</v>
      </c>
      <c r="K160" s="5" t="s">
        <v>309</v>
      </c>
      <c r="L160" s="6" t="s">
        <v>541</v>
      </c>
      <c r="M160" s="49" t="s">
        <v>469</v>
      </c>
      <c r="N160" s="49" t="s">
        <v>1665</v>
      </c>
      <c r="O160" s="49"/>
      <c r="P160" s="6">
        <v>1</v>
      </c>
      <c r="Q160" s="5" t="s">
        <v>977</v>
      </c>
      <c r="R160" s="5"/>
      <c r="S160" s="5"/>
    </row>
    <row r="161" spans="2:19" ht="16.5" customHeight="1" x14ac:dyDescent="0.2">
      <c r="B161" s="6">
        <f>600+Tabla3[[#This Row],[interno]]</f>
        <v>623</v>
      </c>
      <c r="C161" s="6">
        <v>23</v>
      </c>
      <c r="D161" s="80">
        <v>3339561883</v>
      </c>
      <c r="E161" s="48" t="s">
        <v>979</v>
      </c>
      <c r="F161" s="45" t="s">
        <v>974</v>
      </c>
      <c r="G161" s="45" t="s">
        <v>1238</v>
      </c>
      <c r="H161" s="5" t="s">
        <v>974</v>
      </c>
      <c r="I161" s="45" t="s">
        <v>975</v>
      </c>
      <c r="J161" s="5" t="s">
        <v>1138</v>
      </c>
      <c r="K161" s="5" t="s">
        <v>309</v>
      </c>
      <c r="L161" s="6" t="s">
        <v>541</v>
      </c>
      <c r="M161" s="49" t="s">
        <v>469</v>
      </c>
      <c r="N161" s="49" t="s">
        <v>1665</v>
      </c>
      <c r="O161" s="49"/>
      <c r="P161" s="6">
        <v>1</v>
      </c>
      <c r="Q161" s="5" t="s">
        <v>977</v>
      </c>
      <c r="R161" s="5"/>
      <c r="S161" s="5"/>
    </row>
    <row r="162" spans="2:19" ht="16.5" customHeight="1" x14ac:dyDescent="0.2">
      <c r="B162" s="6">
        <v>707</v>
      </c>
      <c r="C162" s="6">
        <v>7</v>
      </c>
      <c r="D162" s="33" t="s">
        <v>562</v>
      </c>
      <c r="E162" s="33" t="s">
        <v>2128</v>
      </c>
      <c r="F162" s="5" t="s">
        <v>964</v>
      </c>
      <c r="G162" s="5" t="s">
        <v>1833</v>
      </c>
      <c r="H162" s="5" t="s">
        <v>964</v>
      </c>
      <c r="I162" s="45" t="s">
        <v>965</v>
      </c>
      <c r="J162" s="5" t="s">
        <v>1138</v>
      </c>
      <c r="K162" s="5" t="s">
        <v>822</v>
      </c>
      <c r="L162" s="6" t="s">
        <v>541</v>
      </c>
      <c r="M162" s="49" t="s">
        <v>469</v>
      </c>
      <c r="N162" s="6" t="s">
        <v>1666</v>
      </c>
      <c r="P162" s="6">
        <v>1</v>
      </c>
      <c r="Q162" s="5" t="s">
        <v>977</v>
      </c>
      <c r="R162" s="5"/>
      <c r="S162" s="5"/>
    </row>
    <row r="163" spans="2:19" ht="16.5" customHeight="1" x14ac:dyDescent="0.2">
      <c r="B163" s="6">
        <v>234</v>
      </c>
      <c r="C163" s="6">
        <v>34</v>
      </c>
      <c r="D163" s="54" t="s">
        <v>2412</v>
      </c>
      <c r="E163" s="6" t="s">
        <v>915</v>
      </c>
      <c r="F163" s="5" t="s">
        <v>984</v>
      </c>
      <c r="G163" s="45" t="s">
        <v>1234</v>
      </c>
      <c r="H163" s="5" t="s">
        <v>984</v>
      </c>
      <c r="I163" s="45" t="s">
        <v>985</v>
      </c>
      <c r="J163" s="5" t="s">
        <v>1138</v>
      </c>
      <c r="K163" s="5" t="s">
        <v>886</v>
      </c>
      <c r="L163" s="6" t="s">
        <v>541</v>
      </c>
      <c r="M163" s="49" t="s">
        <v>469</v>
      </c>
      <c r="N163" s="49" t="s">
        <v>1663</v>
      </c>
      <c r="O163" s="49"/>
      <c r="P163" s="6"/>
      <c r="Q163" s="5" t="s">
        <v>977</v>
      </c>
      <c r="R163" s="5"/>
      <c r="S163" s="5"/>
    </row>
    <row r="164" spans="2:19" ht="16.5" customHeight="1" x14ac:dyDescent="0.2">
      <c r="B164" s="6">
        <v>235</v>
      </c>
      <c r="C164" s="6">
        <v>35</v>
      </c>
      <c r="D164" s="33" t="s">
        <v>1016</v>
      </c>
      <c r="E164" s="6" t="s">
        <v>915</v>
      </c>
      <c r="F164" s="5" t="s">
        <v>988</v>
      </c>
      <c r="G164" s="5" t="s">
        <v>1887</v>
      </c>
      <c r="H164" s="5" t="s">
        <v>988</v>
      </c>
      <c r="I164" s="45" t="s">
        <v>989</v>
      </c>
      <c r="J164" s="5" t="s">
        <v>1138</v>
      </c>
      <c r="K164" s="5" t="s">
        <v>123</v>
      </c>
      <c r="L164" s="6" t="s">
        <v>541</v>
      </c>
      <c r="M164" s="49" t="s">
        <v>469</v>
      </c>
      <c r="N164" s="49" t="s">
        <v>1663</v>
      </c>
      <c r="O164" s="49"/>
      <c r="P164" s="6"/>
      <c r="Q164" s="5" t="s">
        <v>977</v>
      </c>
      <c r="R164" s="5"/>
      <c r="S164" s="5"/>
    </row>
    <row r="165" spans="2:19" ht="16.5" customHeight="1" x14ac:dyDescent="0.2">
      <c r="B165" s="6">
        <v>236</v>
      </c>
      <c r="C165" s="6">
        <v>36</v>
      </c>
      <c r="D165" s="33" t="s">
        <v>1017</v>
      </c>
      <c r="E165" s="6" t="s">
        <v>915</v>
      </c>
      <c r="F165" s="5" t="s">
        <v>980</v>
      </c>
      <c r="G165" s="5" t="s">
        <v>1888</v>
      </c>
      <c r="H165" s="5" t="s">
        <v>980</v>
      </c>
      <c r="I165" s="45" t="s">
        <v>981</v>
      </c>
      <c r="J165" s="5" t="s">
        <v>1138</v>
      </c>
      <c r="K165" s="5" t="s">
        <v>123</v>
      </c>
      <c r="L165" s="6" t="s">
        <v>541</v>
      </c>
      <c r="M165" s="49" t="s">
        <v>469</v>
      </c>
      <c r="N165" s="49" t="s">
        <v>1663</v>
      </c>
      <c r="O165" s="49"/>
      <c r="P165" s="6"/>
      <c r="Q165" s="5" t="s">
        <v>977</v>
      </c>
      <c r="R165" s="5"/>
      <c r="S165" s="5"/>
    </row>
    <row r="166" spans="2:19" ht="16.5" customHeight="1" x14ac:dyDescent="0.2">
      <c r="B166" s="6">
        <v>237</v>
      </c>
      <c r="C166" s="6">
        <v>37</v>
      </c>
      <c r="D166" s="54" t="s">
        <v>2413</v>
      </c>
      <c r="E166" s="6" t="s">
        <v>915</v>
      </c>
      <c r="F166" s="5" t="s">
        <v>992</v>
      </c>
      <c r="G166" s="5" t="s">
        <v>1889</v>
      </c>
      <c r="H166" s="5" t="s">
        <v>992</v>
      </c>
      <c r="I166" s="45" t="s">
        <v>993</v>
      </c>
      <c r="J166" s="5" t="s">
        <v>1138</v>
      </c>
      <c r="K166" s="5" t="s">
        <v>123</v>
      </c>
      <c r="L166" s="6" t="s">
        <v>541</v>
      </c>
      <c r="M166" s="49" t="s">
        <v>469</v>
      </c>
      <c r="N166" s="49" t="s">
        <v>1663</v>
      </c>
      <c r="O166" s="49"/>
      <c r="P166" s="6"/>
      <c r="Q166" s="5" t="s">
        <v>977</v>
      </c>
      <c r="R166" s="5"/>
      <c r="S166" s="5"/>
    </row>
    <row r="167" spans="2:19" ht="16.5" customHeight="1" x14ac:dyDescent="0.2">
      <c r="B167" s="6">
        <v>238</v>
      </c>
      <c r="C167" s="6">
        <v>38</v>
      </c>
      <c r="D167" s="33" t="s">
        <v>1018</v>
      </c>
      <c r="E167" s="6" t="s">
        <v>915</v>
      </c>
      <c r="F167" s="5" t="s">
        <v>982</v>
      </c>
      <c r="G167" s="5" t="s">
        <v>1890</v>
      </c>
      <c r="H167" s="5" t="s">
        <v>982</v>
      </c>
      <c r="I167" s="45" t="s">
        <v>983</v>
      </c>
      <c r="J167" s="5" t="s">
        <v>1138</v>
      </c>
      <c r="K167" s="5" t="s">
        <v>123</v>
      </c>
      <c r="L167" s="6" t="s">
        <v>541</v>
      </c>
      <c r="M167" s="49" t="s">
        <v>469</v>
      </c>
      <c r="N167" s="49" t="s">
        <v>1663</v>
      </c>
      <c r="O167" s="49"/>
      <c r="P167" s="6"/>
      <c r="Q167" s="5" t="s">
        <v>977</v>
      </c>
      <c r="R167" s="5"/>
      <c r="S167" s="5"/>
    </row>
    <row r="168" spans="2:19" ht="16.5" customHeight="1" x14ac:dyDescent="0.2">
      <c r="B168" s="6">
        <v>239</v>
      </c>
      <c r="C168" s="6">
        <v>39</v>
      </c>
      <c r="D168" s="33" t="s">
        <v>1019</v>
      </c>
      <c r="E168" s="6" t="s">
        <v>915</v>
      </c>
      <c r="F168" s="5" t="s">
        <v>996</v>
      </c>
      <c r="G168" s="5" t="s">
        <v>1891</v>
      </c>
      <c r="H168" s="5" t="s">
        <v>996</v>
      </c>
      <c r="I168" s="45" t="s">
        <v>997</v>
      </c>
      <c r="J168" s="5" t="s">
        <v>1138</v>
      </c>
      <c r="K168" s="5" t="s">
        <v>123</v>
      </c>
      <c r="L168" s="6" t="s">
        <v>541</v>
      </c>
      <c r="M168" s="49" t="s">
        <v>469</v>
      </c>
      <c r="N168" s="49" t="s">
        <v>1663</v>
      </c>
      <c r="O168" s="49"/>
      <c r="P168" s="6"/>
      <c r="Q168" s="5" t="s">
        <v>977</v>
      </c>
      <c r="R168" s="5"/>
      <c r="S168" s="5"/>
    </row>
    <row r="169" spans="2:19" ht="16.5" customHeight="1" x14ac:dyDescent="0.2">
      <c r="B169" s="6">
        <v>240</v>
      </c>
      <c r="C169" s="6">
        <v>40</v>
      </c>
      <c r="D169" s="33" t="s">
        <v>1020</v>
      </c>
      <c r="E169" s="6" t="s">
        <v>915</v>
      </c>
      <c r="F169" s="5" t="s">
        <v>1004</v>
      </c>
      <c r="G169" s="5" t="s">
        <v>1150</v>
      </c>
      <c r="H169" s="5" t="s">
        <v>1004</v>
      </c>
      <c r="I169" s="45" t="s">
        <v>1005</v>
      </c>
      <c r="J169" s="5" t="s">
        <v>1138</v>
      </c>
      <c r="K169" s="5" t="s">
        <v>180</v>
      </c>
      <c r="L169" s="6" t="s">
        <v>514</v>
      </c>
      <c r="M169" s="49" t="s">
        <v>469</v>
      </c>
      <c r="N169" s="49" t="s">
        <v>1663</v>
      </c>
      <c r="O169" s="49"/>
      <c r="P169" s="6"/>
      <c r="Q169" s="5" t="s">
        <v>977</v>
      </c>
      <c r="R169" s="5"/>
      <c r="S169" s="5"/>
    </row>
    <row r="170" spans="2:19" ht="16.5" customHeight="1" x14ac:dyDescent="0.2">
      <c r="B170" s="6">
        <v>241</v>
      </c>
      <c r="C170" s="6">
        <v>41</v>
      </c>
      <c r="D170" s="33" t="s">
        <v>1021</v>
      </c>
      <c r="E170" s="6" t="s">
        <v>915</v>
      </c>
      <c r="F170" s="5" t="s">
        <v>990</v>
      </c>
      <c r="G170" s="45" t="s">
        <v>1240</v>
      </c>
      <c r="H170" s="5" t="s">
        <v>990</v>
      </c>
      <c r="I170" s="45" t="s">
        <v>991</v>
      </c>
      <c r="J170" s="5" t="s">
        <v>1138</v>
      </c>
      <c r="K170" s="5" t="s">
        <v>309</v>
      </c>
      <c r="L170" s="6" t="s">
        <v>541</v>
      </c>
      <c r="M170" s="49" t="s">
        <v>469</v>
      </c>
      <c r="N170" s="49" t="s">
        <v>1663</v>
      </c>
      <c r="O170" s="49"/>
      <c r="P170" s="6"/>
      <c r="Q170" s="5" t="s">
        <v>977</v>
      </c>
      <c r="R170" s="5"/>
      <c r="S170" s="5"/>
    </row>
    <row r="171" spans="2:19" ht="16.5" customHeight="1" x14ac:dyDescent="0.2">
      <c r="B171" s="6">
        <v>242</v>
      </c>
      <c r="C171" s="6">
        <v>42</v>
      </c>
      <c r="D171" s="33" t="s">
        <v>1022</v>
      </c>
      <c r="E171" s="6" t="s">
        <v>915</v>
      </c>
      <c r="F171" s="5" t="s">
        <v>986</v>
      </c>
      <c r="G171" s="45" t="s">
        <v>1831</v>
      </c>
      <c r="H171" s="5" t="s">
        <v>986</v>
      </c>
      <c r="I171" s="45" t="s">
        <v>987</v>
      </c>
      <c r="J171" s="5" t="s">
        <v>1138</v>
      </c>
      <c r="K171" s="5" t="s">
        <v>309</v>
      </c>
      <c r="L171" s="6" t="s">
        <v>541</v>
      </c>
      <c r="M171" s="49" t="s">
        <v>469</v>
      </c>
      <c r="N171" s="49" t="s">
        <v>1663</v>
      </c>
      <c r="O171" s="49"/>
      <c r="P171" s="6"/>
      <c r="Q171" s="5" t="s">
        <v>977</v>
      </c>
      <c r="R171" s="5"/>
      <c r="S171" s="5"/>
    </row>
    <row r="172" spans="2:19" ht="16.5" customHeight="1" x14ac:dyDescent="0.2">
      <c r="B172" s="6">
        <v>243</v>
      </c>
      <c r="C172" s="6">
        <v>43</v>
      </c>
      <c r="D172" s="33" t="s">
        <v>1023</v>
      </c>
      <c r="E172" s="6" t="s">
        <v>915</v>
      </c>
      <c r="F172" s="5" t="s">
        <v>1039</v>
      </c>
      <c r="G172" s="5" t="s">
        <v>1239</v>
      </c>
      <c r="H172" s="5" t="s">
        <v>1039</v>
      </c>
      <c r="I172" s="45" t="s">
        <v>1040</v>
      </c>
      <c r="J172" s="5" t="s">
        <v>1138</v>
      </c>
      <c r="K172" s="5" t="s">
        <v>309</v>
      </c>
      <c r="L172" s="6" t="s">
        <v>541</v>
      </c>
      <c r="M172" s="49" t="s">
        <v>469</v>
      </c>
      <c r="N172" s="49" t="s">
        <v>1663</v>
      </c>
      <c r="O172" s="49"/>
      <c r="P172" s="6"/>
      <c r="Q172" s="5"/>
      <c r="R172" s="5"/>
      <c r="S172" s="5"/>
    </row>
    <row r="173" spans="2:19" ht="16.5" customHeight="1" x14ac:dyDescent="0.2">
      <c r="B173" s="6">
        <v>244</v>
      </c>
      <c r="C173" s="6">
        <v>44</v>
      </c>
      <c r="D173" s="33" t="s">
        <v>1024</v>
      </c>
      <c r="E173" s="6" t="s">
        <v>915</v>
      </c>
      <c r="F173" s="5" t="s">
        <v>1045</v>
      </c>
      <c r="G173" s="5" t="s">
        <v>1151</v>
      </c>
      <c r="H173" s="5" t="s">
        <v>1045</v>
      </c>
      <c r="I173" s="45" t="s">
        <v>1046</v>
      </c>
      <c r="J173" s="5" t="s">
        <v>1138</v>
      </c>
      <c r="K173" s="5" t="s">
        <v>309</v>
      </c>
      <c r="L173" s="6" t="s">
        <v>541</v>
      </c>
      <c r="M173" s="49" t="s">
        <v>469</v>
      </c>
      <c r="N173" s="49" t="s">
        <v>1663</v>
      </c>
      <c r="O173" s="49"/>
      <c r="P173" s="6"/>
      <c r="Q173" s="5"/>
      <c r="R173" s="5"/>
      <c r="S173" s="5"/>
    </row>
    <row r="174" spans="2:19" ht="16.5" customHeight="1" x14ac:dyDescent="0.2">
      <c r="B174" s="6">
        <v>245</v>
      </c>
      <c r="C174" s="6">
        <v>45</v>
      </c>
      <c r="D174" s="33" t="s">
        <v>1025</v>
      </c>
      <c r="E174" s="6" t="s">
        <v>915</v>
      </c>
      <c r="F174" s="5" t="s">
        <v>1047</v>
      </c>
      <c r="G174" s="45" t="s">
        <v>1237</v>
      </c>
      <c r="H174" s="5" t="s">
        <v>1047</v>
      </c>
      <c r="I174" s="45" t="s">
        <v>1048</v>
      </c>
      <c r="J174" s="5" t="s">
        <v>1138</v>
      </c>
      <c r="K174" s="5" t="s">
        <v>309</v>
      </c>
      <c r="L174" s="6" t="s">
        <v>541</v>
      </c>
      <c r="M174" s="49" t="s">
        <v>469</v>
      </c>
      <c r="N174" s="49" t="s">
        <v>1663</v>
      </c>
      <c r="O174" s="49"/>
      <c r="P174" s="6"/>
      <c r="Q174" s="5"/>
      <c r="R174" s="5"/>
      <c r="S174" s="5"/>
    </row>
    <row r="175" spans="2:19" ht="16.5" customHeight="1" x14ac:dyDescent="0.2">
      <c r="B175" s="6">
        <v>246</v>
      </c>
      <c r="C175" s="6">
        <v>46</v>
      </c>
      <c r="D175" s="33" t="s">
        <v>1026</v>
      </c>
      <c r="E175" s="6" t="s">
        <v>915</v>
      </c>
      <c r="F175" s="5" t="s">
        <v>1049</v>
      </c>
      <c r="G175" s="5" t="s">
        <v>1208</v>
      </c>
      <c r="H175" s="5" t="s">
        <v>1049</v>
      </c>
      <c r="I175" s="45" t="s">
        <v>1050</v>
      </c>
      <c r="J175" s="5" t="s">
        <v>1138</v>
      </c>
      <c r="K175" s="5" t="s">
        <v>309</v>
      </c>
      <c r="L175" s="6" t="s">
        <v>541</v>
      </c>
      <c r="M175" s="49" t="s">
        <v>469</v>
      </c>
      <c r="N175" s="49" t="s">
        <v>1663</v>
      </c>
      <c r="O175" s="49"/>
      <c r="P175" s="6"/>
      <c r="Q175" s="5"/>
      <c r="R175" s="5"/>
      <c r="S175" s="5"/>
    </row>
    <row r="176" spans="2:19" ht="16.5" customHeight="1" x14ac:dyDescent="0.2">
      <c r="B176" s="6">
        <v>247</v>
      </c>
      <c r="C176" s="6">
        <v>47</v>
      </c>
      <c r="D176" s="33" t="s">
        <v>1027</v>
      </c>
      <c r="E176" s="6" t="s">
        <v>915</v>
      </c>
      <c r="F176" s="5" t="s">
        <v>1033</v>
      </c>
      <c r="G176" s="45" t="s">
        <v>1235</v>
      </c>
      <c r="H176" s="5" t="s">
        <v>1033</v>
      </c>
      <c r="I176" s="45" t="s">
        <v>1034</v>
      </c>
      <c r="J176" s="5" t="s">
        <v>1138</v>
      </c>
      <c r="K176" s="5" t="s">
        <v>309</v>
      </c>
      <c r="L176" s="6" t="s">
        <v>541</v>
      </c>
      <c r="M176" s="49" t="s">
        <v>469</v>
      </c>
      <c r="N176" s="49" t="s">
        <v>1663</v>
      </c>
      <c r="O176" s="49"/>
      <c r="P176" s="6"/>
      <c r="Q176" s="5"/>
      <c r="R176" s="5"/>
      <c r="S176" s="5"/>
    </row>
    <row r="177" spans="2:19" ht="16.5" customHeight="1" x14ac:dyDescent="0.2">
      <c r="B177" s="6">
        <v>248</v>
      </c>
      <c r="C177" s="6">
        <v>48</v>
      </c>
      <c r="D177" s="33" t="s">
        <v>1028</v>
      </c>
      <c r="E177" s="6" t="s">
        <v>915</v>
      </c>
      <c r="F177" s="5" t="s">
        <v>1037</v>
      </c>
      <c r="G177" s="5" t="s">
        <v>1207</v>
      </c>
      <c r="H177" s="5" t="s">
        <v>1037</v>
      </c>
      <c r="I177" s="45" t="s">
        <v>1038</v>
      </c>
      <c r="J177" s="5" t="s">
        <v>1138</v>
      </c>
      <c r="K177" s="5" t="s">
        <v>309</v>
      </c>
      <c r="L177" s="6" t="s">
        <v>541</v>
      </c>
      <c r="M177" s="49" t="s">
        <v>469</v>
      </c>
      <c r="N177" s="49" t="s">
        <v>1663</v>
      </c>
      <c r="O177" s="49"/>
      <c r="P177" s="6"/>
      <c r="Q177" s="5"/>
      <c r="R177" s="5"/>
      <c r="S177" s="5"/>
    </row>
    <row r="178" spans="2:19" ht="16.5" customHeight="1" x14ac:dyDescent="0.2">
      <c r="B178" s="6">
        <v>249</v>
      </c>
      <c r="C178" s="6">
        <v>49</v>
      </c>
      <c r="D178" s="33" t="s">
        <v>1029</v>
      </c>
      <c r="E178" s="6" t="s">
        <v>915</v>
      </c>
      <c r="F178" s="5" t="s">
        <v>1035</v>
      </c>
      <c r="G178" s="45" t="s">
        <v>1236</v>
      </c>
      <c r="H178" s="5" t="s">
        <v>1035</v>
      </c>
      <c r="I178" s="45" t="s">
        <v>1036</v>
      </c>
      <c r="J178" s="5" t="s">
        <v>1138</v>
      </c>
      <c r="K178" s="5" t="s">
        <v>309</v>
      </c>
      <c r="L178" s="6" t="s">
        <v>541</v>
      </c>
      <c r="M178" s="49" t="s">
        <v>469</v>
      </c>
      <c r="N178" s="49" t="s">
        <v>1663</v>
      </c>
      <c r="O178" s="49"/>
      <c r="P178" s="6"/>
      <c r="Q178" s="5"/>
      <c r="R178" s="5"/>
      <c r="S178" s="5"/>
    </row>
    <row r="179" spans="2:19" ht="16.5" customHeight="1" x14ac:dyDescent="0.2">
      <c r="B179" s="6">
        <v>250</v>
      </c>
      <c r="C179" s="6">
        <v>50</v>
      </c>
      <c r="D179" s="54" t="s">
        <v>2414</v>
      </c>
      <c r="E179" s="6" t="s">
        <v>915</v>
      </c>
      <c r="F179" s="5" t="s">
        <v>1041</v>
      </c>
      <c r="G179" s="5" t="s">
        <v>1152</v>
      </c>
      <c r="H179" s="5" t="s">
        <v>1041</v>
      </c>
      <c r="I179" s="45" t="s">
        <v>1042</v>
      </c>
      <c r="J179" s="5" t="s">
        <v>1138</v>
      </c>
      <c r="K179" s="5" t="s">
        <v>309</v>
      </c>
      <c r="L179" s="6" t="s">
        <v>541</v>
      </c>
      <c r="M179" s="49" t="s">
        <v>469</v>
      </c>
      <c r="N179" s="49" t="s">
        <v>1663</v>
      </c>
      <c r="O179" s="49"/>
      <c r="P179" s="6"/>
      <c r="Q179" s="5"/>
      <c r="R179" s="5"/>
      <c r="S179" s="5"/>
    </row>
    <row r="180" spans="2:19" ht="16.5" customHeight="1" x14ac:dyDescent="0.2">
      <c r="B180" s="6">
        <v>251</v>
      </c>
      <c r="C180" s="6">
        <v>51</v>
      </c>
      <c r="D180" s="55" t="s">
        <v>1030</v>
      </c>
      <c r="E180" s="6" t="s">
        <v>915</v>
      </c>
      <c r="F180" s="5" t="s">
        <v>1031</v>
      </c>
      <c r="G180" s="5" t="s">
        <v>1233</v>
      </c>
      <c r="H180" s="5" t="s">
        <v>1031</v>
      </c>
      <c r="I180" s="45" t="s">
        <v>1032</v>
      </c>
      <c r="J180" s="5" t="s">
        <v>1138</v>
      </c>
      <c r="K180" s="5" t="s">
        <v>309</v>
      </c>
      <c r="L180" s="6" t="s">
        <v>541</v>
      </c>
      <c r="M180" s="49" t="s">
        <v>469</v>
      </c>
      <c r="N180" s="49" t="s">
        <v>1663</v>
      </c>
      <c r="O180" s="49"/>
      <c r="P180" s="6"/>
      <c r="Q180" s="5"/>
      <c r="R180" s="5"/>
      <c r="S180" s="5"/>
    </row>
    <row r="181" spans="2:19" ht="16.5" customHeight="1" x14ac:dyDescent="0.2">
      <c r="B181" s="6">
        <v>252</v>
      </c>
      <c r="C181" s="6">
        <v>52</v>
      </c>
      <c r="D181" s="55" t="s">
        <v>1057</v>
      </c>
      <c r="E181" s="6" t="s">
        <v>915</v>
      </c>
      <c r="F181" s="5" t="s">
        <v>1043</v>
      </c>
      <c r="G181" s="5" t="s">
        <v>1896</v>
      </c>
      <c r="H181" s="5" t="s">
        <v>1043</v>
      </c>
      <c r="I181" s="45" t="s">
        <v>1044</v>
      </c>
      <c r="J181" s="5" t="s">
        <v>1138</v>
      </c>
      <c r="K181" s="5" t="s">
        <v>180</v>
      </c>
      <c r="L181" s="6" t="s">
        <v>514</v>
      </c>
      <c r="M181" s="49" t="s">
        <v>469</v>
      </c>
      <c r="N181" s="49" t="s">
        <v>1663</v>
      </c>
      <c r="O181" s="49"/>
      <c r="P181" s="6"/>
      <c r="Q181" s="5"/>
      <c r="R181" s="5"/>
      <c r="S181" s="5"/>
    </row>
    <row r="182" spans="2:19" ht="16.5" customHeight="1" x14ac:dyDescent="0.2">
      <c r="B182" s="6">
        <v>253</v>
      </c>
      <c r="C182" s="6">
        <v>53</v>
      </c>
      <c r="D182" s="55" t="s">
        <v>1058</v>
      </c>
      <c r="E182" s="6" t="s">
        <v>915</v>
      </c>
      <c r="F182" s="5" t="s">
        <v>1072</v>
      </c>
      <c r="G182" s="5" t="s">
        <v>1153</v>
      </c>
      <c r="H182" s="5" t="s">
        <v>1072</v>
      </c>
      <c r="I182" s="33" t="s">
        <v>1073</v>
      </c>
      <c r="J182" s="5" t="s">
        <v>1138</v>
      </c>
      <c r="K182" s="5" t="s">
        <v>180</v>
      </c>
      <c r="L182" s="6" t="s">
        <v>514</v>
      </c>
      <c r="M182" s="49" t="s">
        <v>469</v>
      </c>
      <c r="N182" s="49" t="s">
        <v>1663</v>
      </c>
      <c r="O182" s="49"/>
      <c r="P182" s="6"/>
      <c r="Q182" s="5"/>
      <c r="R182" s="5"/>
      <c r="S182" s="5"/>
    </row>
    <row r="183" spans="2:19" ht="16.5" customHeight="1" x14ac:dyDescent="0.2">
      <c r="B183" s="6">
        <v>254</v>
      </c>
      <c r="C183" s="6">
        <v>54</v>
      </c>
      <c r="D183" s="55" t="s">
        <v>1059</v>
      </c>
      <c r="E183" s="6" t="s">
        <v>915</v>
      </c>
      <c r="F183" s="5" t="s">
        <v>1074</v>
      </c>
      <c r="G183" s="5" t="s">
        <v>1154</v>
      </c>
      <c r="H183" s="5" t="s">
        <v>1074</v>
      </c>
      <c r="I183" s="33" t="s">
        <v>1075</v>
      </c>
      <c r="J183" s="5" t="s">
        <v>1138</v>
      </c>
      <c r="K183" s="5" t="s">
        <v>180</v>
      </c>
      <c r="L183" s="6" t="s">
        <v>514</v>
      </c>
      <c r="M183" s="49" t="s">
        <v>469</v>
      </c>
      <c r="N183" s="49" t="s">
        <v>1663</v>
      </c>
      <c r="O183" s="49"/>
      <c r="P183" s="6"/>
      <c r="Q183" s="5"/>
      <c r="R183" s="5"/>
      <c r="S183" s="5"/>
    </row>
    <row r="184" spans="2:19" ht="16.5" customHeight="1" x14ac:dyDescent="0.2">
      <c r="B184" s="6">
        <v>255</v>
      </c>
      <c r="C184" s="6">
        <v>55</v>
      </c>
      <c r="D184" s="54" t="s">
        <v>2415</v>
      </c>
      <c r="E184" s="6" t="s">
        <v>915</v>
      </c>
      <c r="F184" s="5" t="s">
        <v>1076</v>
      </c>
      <c r="G184" s="5" t="s">
        <v>1155</v>
      </c>
      <c r="H184" s="5" t="s">
        <v>1076</v>
      </c>
      <c r="I184" s="33" t="s">
        <v>1077</v>
      </c>
      <c r="J184" s="5" t="s">
        <v>1138</v>
      </c>
      <c r="K184" s="5" t="s">
        <v>180</v>
      </c>
      <c r="L184" s="6" t="s">
        <v>514</v>
      </c>
      <c r="M184" s="49" t="s">
        <v>469</v>
      </c>
      <c r="N184" s="49" t="s">
        <v>1663</v>
      </c>
      <c r="O184" s="49"/>
      <c r="P184" s="6"/>
      <c r="Q184" s="5"/>
      <c r="R184" s="5"/>
      <c r="S184" s="5"/>
    </row>
    <row r="185" spans="2:19" ht="16.5" customHeight="1" x14ac:dyDescent="0.2">
      <c r="B185" s="6">
        <v>256</v>
      </c>
      <c r="C185" s="6">
        <v>56</v>
      </c>
      <c r="D185" s="54" t="s">
        <v>2416</v>
      </c>
      <c r="E185" s="6" t="s">
        <v>915</v>
      </c>
      <c r="F185" s="5" t="s">
        <v>1082</v>
      </c>
      <c r="G185" s="5" t="s">
        <v>1156</v>
      </c>
      <c r="H185" s="5" t="s">
        <v>1082</v>
      </c>
      <c r="J185" s="5" t="s">
        <v>1138</v>
      </c>
      <c r="K185" s="5" t="s">
        <v>127</v>
      </c>
      <c r="L185" s="6" t="s">
        <v>540</v>
      </c>
      <c r="M185" s="49" t="s">
        <v>469</v>
      </c>
      <c r="N185" s="49" t="s">
        <v>1663</v>
      </c>
      <c r="O185" s="49"/>
      <c r="P185" s="6"/>
      <c r="Q185" s="5"/>
      <c r="R185" s="5"/>
      <c r="S185" s="5"/>
    </row>
    <row r="186" spans="2:19" ht="16.5" customHeight="1" x14ac:dyDescent="0.2">
      <c r="B186" s="6">
        <v>257</v>
      </c>
      <c r="C186" s="6">
        <v>57</v>
      </c>
      <c r="D186" s="54" t="s">
        <v>2417</v>
      </c>
      <c r="E186" s="6" t="s">
        <v>915</v>
      </c>
      <c r="F186" s="5" t="s">
        <v>1078</v>
      </c>
      <c r="G186" s="5" t="s">
        <v>1157</v>
      </c>
      <c r="H186" s="5" t="s">
        <v>1078</v>
      </c>
      <c r="I186" s="33" t="s">
        <v>1079</v>
      </c>
      <c r="J186" s="5" t="s">
        <v>1138</v>
      </c>
      <c r="K186" s="5" t="s">
        <v>28</v>
      </c>
      <c r="L186" s="6" t="s">
        <v>514</v>
      </c>
      <c r="M186" s="49" t="s">
        <v>469</v>
      </c>
      <c r="N186" s="49" t="s">
        <v>1663</v>
      </c>
      <c r="O186" s="49"/>
      <c r="P186" s="6"/>
      <c r="Q186" s="5"/>
      <c r="R186" s="5"/>
      <c r="S186" s="5"/>
    </row>
    <row r="187" spans="2:19" ht="16.5" customHeight="1" x14ac:dyDescent="0.2">
      <c r="B187" s="6">
        <v>258</v>
      </c>
      <c r="C187" s="6">
        <v>58</v>
      </c>
      <c r="D187" s="55" t="s">
        <v>1060</v>
      </c>
      <c r="E187" s="6" t="s">
        <v>915</v>
      </c>
      <c r="F187" s="5" t="s">
        <v>1080</v>
      </c>
      <c r="G187" s="5" t="s">
        <v>1158</v>
      </c>
      <c r="H187" s="5" t="s">
        <v>1080</v>
      </c>
      <c r="I187" s="33" t="s">
        <v>1081</v>
      </c>
      <c r="J187" s="5" t="s">
        <v>1138</v>
      </c>
      <c r="K187" s="5" t="s">
        <v>28</v>
      </c>
      <c r="L187" s="6" t="s">
        <v>514</v>
      </c>
      <c r="M187" s="49" t="s">
        <v>469</v>
      </c>
      <c r="N187" s="49" t="s">
        <v>1663</v>
      </c>
      <c r="O187" s="49"/>
      <c r="P187" s="6"/>
      <c r="Q187" s="5"/>
      <c r="R187" s="5"/>
      <c r="S187" s="5"/>
    </row>
    <row r="188" spans="2:19" ht="16.5" customHeight="1" x14ac:dyDescent="0.2">
      <c r="B188" s="6">
        <v>259</v>
      </c>
      <c r="C188" s="6">
        <v>59</v>
      </c>
      <c r="D188" s="55" t="s">
        <v>1061</v>
      </c>
      <c r="E188" s="6" t="s">
        <v>915</v>
      </c>
      <c r="F188" s="5" t="s">
        <v>1084</v>
      </c>
      <c r="G188" s="5" t="s">
        <v>1159</v>
      </c>
      <c r="H188" s="5" t="s">
        <v>1084</v>
      </c>
      <c r="I188" s="33" t="s">
        <v>1086</v>
      </c>
      <c r="J188" s="5" t="s">
        <v>1138</v>
      </c>
      <c r="K188" s="5" t="s">
        <v>44</v>
      </c>
      <c r="L188" s="6" t="s">
        <v>540</v>
      </c>
      <c r="M188" s="49" t="s">
        <v>469</v>
      </c>
      <c r="N188" s="49" t="s">
        <v>1663</v>
      </c>
      <c r="O188" s="49"/>
      <c r="P188" s="6"/>
      <c r="Q188" s="5"/>
      <c r="R188" s="5"/>
      <c r="S188" s="5"/>
    </row>
    <row r="189" spans="2:19" ht="16.5" customHeight="1" x14ac:dyDescent="0.2">
      <c r="B189" s="6">
        <v>260</v>
      </c>
      <c r="C189" s="6">
        <v>60</v>
      </c>
      <c r="D189" s="55" t="s">
        <v>1062</v>
      </c>
      <c r="E189" s="6" t="s">
        <v>915</v>
      </c>
      <c r="F189" s="5" t="s">
        <v>1085</v>
      </c>
      <c r="G189" s="5" t="s">
        <v>1160</v>
      </c>
      <c r="H189" s="5" t="s">
        <v>1085</v>
      </c>
      <c r="I189" s="33" t="s">
        <v>1083</v>
      </c>
      <c r="J189" s="5" t="s">
        <v>1138</v>
      </c>
      <c r="K189" s="5" t="s">
        <v>44</v>
      </c>
      <c r="L189" s="6" t="s">
        <v>540</v>
      </c>
      <c r="M189" s="49" t="s">
        <v>469</v>
      </c>
      <c r="N189" s="49" t="s">
        <v>1663</v>
      </c>
      <c r="O189" s="49"/>
      <c r="P189" s="6"/>
      <c r="Q189" s="5"/>
      <c r="R189" s="5"/>
      <c r="S189" s="5"/>
    </row>
    <row r="190" spans="2:19" ht="16.5" customHeight="1" x14ac:dyDescent="0.2">
      <c r="B190" s="6">
        <v>279</v>
      </c>
      <c r="C190" s="6">
        <v>79</v>
      </c>
      <c r="D190" s="33" t="s">
        <v>1251</v>
      </c>
      <c r="E190" s="6" t="s">
        <v>915</v>
      </c>
      <c r="F190" s="33" t="s">
        <v>1272</v>
      </c>
      <c r="G190" s="5" t="s">
        <v>1316</v>
      </c>
      <c r="H190" s="33" t="s">
        <v>1272</v>
      </c>
      <c r="I190" s="33" t="s">
        <v>1273</v>
      </c>
      <c r="J190" s="5" t="s">
        <v>1138</v>
      </c>
      <c r="K190" s="6" t="s">
        <v>180</v>
      </c>
      <c r="L190" s="6" t="s">
        <v>514</v>
      </c>
      <c r="M190" s="49" t="s">
        <v>469</v>
      </c>
      <c r="N190" s="49" t="s">
        <v>1663</v>
      </c>
      <c r="O190" s="49"/>
      <c r="P190" s="6"/>
      <c r="Q190" s="5"/>
      <c r="R190" s="5"/>
      <c r="S190" s="5"/>
    </row>
    <row r="191" spans="2:19" ht="16.5" customHeight="1" x14ac:dyDescent="0.2">
      <c r="B191" s="6">
        <v>919</v>
      </c>
      <c r="C191" s="6">
        <v>19</v>
      </c>
      <c r="D191" s="45" t="s">
        <v>1241</v>
      </c>
      <c r="E191" s="6" t="s">
        <v>915</v>
      </c>
      <c r="F191" s="33" t="s">
        <v>1247</v>
      </c>
      <c r="G191" s="5" t="s">
        <v>1897</v>
      </c>
      <c r="H191" s="33" t="s">
        <v>1247</v>
      </c>
      <c r="I191" s="33" t="s">
        <v>1248</v>
      </c>
      <c r="J191" s="5" t="s">
        <v>1138</v>
      </c>
      <c r="K191" s="6" t="s">
        <v>888</v>
      </c>
      <c r="L191" s="6" t="s">
        <v>514</v>
      </c>
      <c r="M191" s="49" t="s">
        <v>469</v>
      </c>
      <c r="N191" s="49" t="s">
        <v>2179</v>
      </c>
      <c r="O191" s="6" t="s">
        <v>2425</v>
      </c>
      <c r="P191" s="6"/>
      <c r="Q191" s="5"/>
      <c r="R191" s="5"/>
      <c r="S191" s="5"/>
    </row>
    <row r="192" spans="2:19" ht="16.5" customHeight="1" x14ac:dyDescent="0.2">
      <c r="B192" s="6">
        <v>906</v>
      </c>
      <c r="C192" s="6">
        <v>6</v>
      </c>
      <c r="D192" s="33" t="s">
        <v>1256</v>
      </c>
      <c r="E192" s="6" t="s">
        <v>915</v>
      </c>
      <c r="F192" s="33" t="s">
        <v>1294</v>
      </c>
      <c r="G192" s="5" t="s">
        <v>1842</v>
      </c>
      <c r="H192" s="33" t="s">
        <v>1294</v>
      </c>
      <c r="I192" s="33" t="s">
        <v>1295</v>
      </c>
      <c r="J192" s="5" t="s">
        <v>1138</v>
      </c>
      <c r="K192" s="6" t="s">
        <v>1318</v>
      </c>
      <c r="L192" s="6" t="s">
        <v>1285</v>
      </c>
      <c r="M192" s="49" t="s">
        <v>469</v>
      </c>
      <c r="N192" s="49" t="s">
        <v>2179</v>
      </c>
      <c r="O192" s="49" t="s">
        <v>2425</v>
      </c>
      <c r="P192" s="6"/>
      <c r="Q192" s="5"/>
      <c r="R192" s="5"/>
      <c r="S192" s="5"/>
    </row>
    <row r="193" spans="2:19" ht="16.5" customHeight="1" x14ac:dyDescent="0.2">
      <c r="B193" s="6">
        <v>281</v>
      </c>
      <c r="C193" s="6">
        <v>81</v>
      </c>
      <c r="D193" s="33" t="s">
        <v>1253</v>
      </c>
      <c r="E193" s="6" t="s">
        <v>915</v>
      </c>
      <c r="F193" s="33" t="s">
        <v>1288</v>
      </c>
      <c r="G193" s="9" t="s">
        <v>1313</v>
      </c>
      <c r="H193" s="33" t="s">
        <v>1288</v>
      </c>
      <c r="I193" s="33" t="s">
        <v>1289</v>
      </c>
      <c r="J193" s="5" t="s">
        <v>1138</v>
      </c>
      <c r="K193" s="6" t="s">
        <v>1314</v>
      </c>
      <c r="L193" s="6" t="s">
        <v>514</v>
      </c>
      <c r="M193" s="49" t="s">
        <v>469</v>
      </c>
      <c r="N193" s="49" t="s">
        <v>1663</v>
      </c>
      <c r="O193" s="49"/>
      <c r="P193" s="6"/>
      <c r="Q193" s="5"/>
      <c r="R193" s="5"/>
      <c r="S193" s="5"/>
    </row>
    <row r="194" spans="2:19" ht="16.5" customHeight="1" x14ac:dyDescent="0.2">
      <c r="B194" s="6">
        <v>278</v>
      </c>
      <c r="C194" s="6">
        <v>78</v>
      </c>
      <c r="D194" s="33" t="s">
        <v>1244</v>
      </c>
      <c r="E194" s="6" t="s">
        <v>915</v>
      </c>
      <c r="F194" s="33" t="s">
        <v>1245</v>
      </c>
      <c r="G194" s="5" t="s">
        <v>1787</v>
      </c>
      <c r="H194" s="33" t="s">
        <v>1245</v>
      </c>
      <c r="I194" s="33" t="s">
        <v>1246</v>
      </c>
      <c r="J194" s="5" t="s">
        <v>1138</v>
      </c>
      <c r="K194" s="6" t="s">
        <v>180</v>
      </c>
      <c r="L194" s="6" t="s">
        <v>514</v>
      </c>
      <c r="M194" s="49" t="s">
        <v>469</v>
      </c>
      <c r="N194" s="49" t="s">
        <v>1663</v>
      </c>
      <c r="O194" s="49"/>
      <c r="P194" s="6"/>
      <c r="Q194" s="5"/>
      <c r="R194" s="5"/>
      <c r="S194" s="5"/>
    </row>
    <row r="195" spans="2:19" ht="16.5" customHeight="1" x14ac:dyDescent="0.2">
      <c r="B195" s="6">
        <v>280</v>
      </c>
      <c r="C195" s="6">
        <v>80</v>
      </c>
      <c r="D195" s="33" t="s">
        <v>1252</v>
      </c>
      <c r="E195" s="6" t="s">
        <v>915</v>
      </c>
      <c r="F195" s="33" t="s">
        <v>1286</v>
      </c>
      <c r="G195" s="9" t="s">
        <v>1312</v>
      </c>
      <c r="H195" s="33" t="s">
        <v>1286</v>
      </c>
      <c r="I195" s="33" t="s">
        <v>1287</v>
      </c>
      <c r="J195" s="5" t="s">
        <v>1138</v>
      </c>
      <c r="K195" s="6" t="s">
        <v>1314</v>
      </c>
      <c r="L195" s="6" t="s">
        <v>514</v>
      </c>
      <c r="M195" s="49" t="s">
        <v>469</v>
      </c>
      <c r="N195" s="49" t="s">
        <v>1663</v>
      </c>
      <c r="O195" s="49"/>
      <c r="P195" s="6"/>
      <c r="Q195" s="5"/>
      <c r="R195" s="5"/>
      <c r="S195" s="5"/>
    </row>
    <row r="196" spans="2:19" ht="16.5" customHeight="1" x14ac:dyDescent="0.2">
      <c r="B196" s="6">
        <v>276</v>
      </c>
      <c r="C196" s="6">
        <v>76</v>
      </c>
      <c r="D196" s="33" t="s">
        <v>1242</v>
      </c>
      <c r="E196" s="6" t="s">
        <v>915</v>
      </c>
      <c r="F196" s="33" t="s">
        <v>1277</v>
      </c>
      <c r="G196" s="37" t="s">
        <v>1281</v>
      </c>
      <c r="H196" s="33" t="s">
        <v>1277</v>
      </c>
      <c r="I196" s="33" t="s">
        <v>1278</v>
      </c>
      <c r="J196" s="5" t="s">
        <v>1138</v>
      </c>
      <c r="K196" s="6" t="s">
        <v>44</v>
      </c>
      <c r="L196" s="6" t="s">
        <v>540</v>
      </c>
      <c r="M196" s="49" t="s">
        <v>469</v>
      </c>
      <c r="N196" s="49" t="s">
        <v>1663</v>
      </c>
      <c r="O196" s="49"/>
      <c r="P196" s="6"/>
      <c r="Q196" s="5"/>
      <c r="R196" s="5"/>
      <c r="S196" s="5"/>
    </row>
    <row r="197" spans="2:19" ht="16.5" customHeight="1" x14ac:dyDescent="0.2">
      <c r="B197" s="6">
        <v>905</v>
      </c>
      <c r="C197" s="6">
        <v>5</v>
      </c>
      <c r="D197" s="33" t="s">
        <v>1255</v>
      </c>
      <c r="E197" s="6" t="s">
        <v>915</v>
      </c>
      <c r="F197" s="33" t="s">
        <v>1292</v>
      </c>
      <c r="G197" s="5" t="s">
        <v>1843</v>
      </c>
      <c r="H197" s="33" t="s">
        <v>1292</v>
      </c>
      <c r="I197" s="33" t="s">
        <v>1293</v>
      </c>
      <c r="J197" s="5" t="s">
        <v>1138</v>
      </c>
      <c r="K197" s="6" t="s">
        <v>1318</v>
      </c>
      <c r="L197" s="6" t="s">
        <v>1285</v>
      </c>
      <c r="M197" s="49" t="s">
        <v>469</v>
      </c>
      <c r="N197" s="49" t="s">
        <v>2179</v>
      </c>
      <c r="O197" s="49" t="s">
        <v>2425</v>
      </c>
      <c r="P197" s="6"/>
      <c r="Q197" s="5"/>
      <c r="R197" s="5"/>
      <c r="S197" s="5"/>
    </row>
    <row r="198" spans="2:19" ht="16.5" customHeight="1" x14ac:dyDescent="0.2">
      <c r="B198" s="6">
        <v>904</v>
      </c>
      <c r="C198" s="6">
        <v>4</v>
      </c>
      <c r="D198" s="33" t="s">
        <v>1254</v>
      </c>
      <c r="E198" s="6" t="s">
        <v>915</v>
      </c>
      <c r="F198" s="33" t="s">
        <v>1290</v>
      </c>
      <c r="G198" s="5" t="s">
        <v>1844</v>
      </c>
      <c r="H198" s="33" t="s">
        <v>1290</v>
      </c>
      <c r="I198" s="33" t="s">
        <v>1291</v>
      </c>
      <c r="J198" s="5" t="s">
        <v>1138</v>
      </c>
      <c r="K198" s="6" t="s">
        <v>1318</v>
      </c>
      <c r="L198" s="6" t="s">
        <v>1285</v>
      </c>
      <c r="M198" s="49" t="s">
        <v>469</v>
      </c>
      <c r="N198" s="49" t="s">
        <v>2179</v>
      </c>
      <c r="O198" s="49" t="s">
        <v>2425</v>
      </c>
      <c r="P198" s="6"/>
      <c r="Q198" s="5"/>
      <c r="R198" s="5"/>
      <c r="S198" s="5"/>
    </row>
    <row r="199" spans="2:19" ht="16.5" customHeight="1" x14ac:dyDescent="0.2">
      <c r="B199" s="6">
        <v>277</v>
      </c>
      <c r="C199" s="6">
        <v>77</v>
      </c>
      <c r="D199" s="33" t="s">
        <v>1243</v>
      </c>
      <c r="E199" s="6" t="s">
        <v>915</v>
      </c>
      <c r="F199" s="33" t="s">
        <v>1249</v>
      </c>
      <c r="G199" s="5" t="s">
        <v>1317</v>
      </c>
      <c r="H199" s="33" t="s">
        <v>1249</v>
      </c>
      <c r="I199" s="33" t="s">
        <v>1250</v>
      </c>
      <c r="J199" s="5" t="s">
        <v>1138</v>
      </c>
      <c r="K199" s="6" t="s">
        <v>180</v>
      </c>
      <c r="L199" s="6" t="s">
        <v>514</v>
      </c>
      <c r="M199" s="49" t="s">
        <v>469</v>
      </c>
      <c r="N199" s="49" t="s">
        <v>1663</v>
      </c>
      <c r="O199" s="49"/>
      <c r="P199" s="6"/>
      <c r="Q199" s="5"/>
      <c r="R199" s="5"/>
      <c r="S199" s="5"/>
    </row>
    <row r="200" spans="2:19" ht="16.5" customHeight="1" x14ac:dyDescent="0.2">
      <c r="B200" s="6">
        <v>907</v>
      </c>
      <c r="C200" s="6">
        <v>7</v>
      </c>
      <c r="D200" s="33" t="s">
        <v>1257</v>
      </c>
      <c r="E200" s="6" t="s">
        <v>915</v>
      </c>
      <c r="F200" s="33" t="s">
        <v>1296</v>
      </c>
      <c r="G200" s="5" t="s">
        <v>1845</v>
      </c>
      <c r="H200" s="33" t="s">
        <v>1296</v>
      </c>
      <c r="I200" s="33" t="s">
        <v>1297</v>
      </c>
      <c r="J200" s="5" t="s">
        <v>1138</v>
      </c>
      <c r="K200" s="6" t="s">
        <v>1318</v>
      </c>
      <c r="L200" s="6" t="s">
        <v>1285</v>
      </c>
      <c r="M200" s="49" t="s">
        <v>469</v>
      </c>
      <c r="N200" s="49" t="s">
        <v>2179</v>
      </c>
      <c r="O200" s="49" t="s">
        <v>2425</v>
      </c>
      <c r="P200" s="6"/>
      <c r="Q200" s="5"/>
      <c r="R200" s="5"/>
      <c r="S200" s="5"/>
    </row>
    <row r="201" spans="2:19" ht="16.5" customHeight="1" x14ac:dyDescent="0.2">
      <c r="B201" s="6">
        <v>908</v>
      </c>
      <c r="C201" s="6">
        <v>8</v>
      </c>
      <c r="D201" s="33" t="s">
        <v>1258</v>
      </c>
      <c r="E201" s="6" t="s">
        <v>915</v>
      </c>
      <c r="F201" s="33" t="s">
        <v>1298</v>
      </c>
      <c r="G201" s="5" t="s">
        <v>1846</v>
      </c>
      <c r="H201" s="33" t="s">
        <v>1298</v>
      </c>
      <c r="I201" s="33" t="s">
        <v>1299</v>
      </c>
      <c r="J201" s="5" t="s">
        <v>1138</v>
      </c>
      <c r="K201" s="6" t="s">
        <v>1318</v>
      </c>
      <c r="L201" s="6" t="s">
        <v>1285</v>
      </c>
      <c r="M201" s="49" t="s">
        <v>469</v>
      </c>
      <c r="N201" s="49" t="s">
        <v>2179</v>
      </c>
      <c r="O201" s="49" t="s">
        <v>2425</v>
      </c>
      <c r="P201" s="6"/>
      <c r="Q201" s="5"/>
      <c r="R201" s="5"/>
      <c r="S201" s="5"/>
    </row>
    <row r="202" spans="2:19" ht="16.5" customHeight="1" x14ac:dyDescent="0.2">
      <c r="B202" s="6">
        <v>909</v>
      </c>
      <c r="C202" s="6">
        <v>9</v>
      </c>
      <c r="D202" s="33" t="s">
        <v>1259</v>
      </c>
      <c r="E202" s="6" t="s">
        <v>915</v>
      </c>
      <c r="F202" s="33" t="s">
        <v>1300</v>
      </c>
      <c r="G202" s="5" t="s">
        <v>1847</v>
      </c>
      <c r="H202" s="33" t="s">
        <v>1300</v>
      </c>
      <c r="I202" s="33" t="s">
        <v>1301</v>
      </c>
      <c r="J202" s="5" t="s">
        <v>1138</v>
      </c>
      <c r="K202" s="6" t="s">
        <v>1318</v>
      </c>
      <c r="L202" s="6" t="s">
        <v>1285</v>
      </c>
      <c r="M202" s="49" t="s">
        <v>469</v>
      </c>
      <c r="N202" s="49" t="s">
        <v>2179</v>
      </c>
      <c r="O202" s="49" t="s">
        <v>2425</v>
      </c>
      <c r="P202" s="6"/>
      <c r="Q202" s="5"/>
      <c r="R202" s="5"/>
      <c r="S202" s="5"/>
    </row>
    <row r="203" spans="2:19" ht="16.5" customHeight="1" x14ac:dyDescent="0.2">
      <c r="B203" s="6">
        <v>910</v>
      </c>
      <c r="C203" s="6">
        <v>10</v>
      </c>
      <c r="D203" s="33" t="s">
        <v>1260</v>
      </c>
      <c r="E203" s="6" t="s">
        <v>915</v>
      </c>
      <c r="F203" s="33" t="s">
        <v>1302</v>
      </c>
      <c r="G203" s="5" t="s">
        <v>1848</v>
      </c>
      <c r="H203" s="33" t="s">
        <v>1302</v>
      </c>
      <c r="I203" s="33" t="s">
        <v>1303</v>
      </c>
      <c r="J203" s="5" t="s">
        <v>1138</v>
      </c>
      <c r="K203" s="6" t="s">
        <v>1318</v>
      </c>
      <c r="L203" s="6" t="s">
        <v>1285</v>
      </c>
      <c r="M203" s="49" t="s">
        <v>469</v>
      </c>
      <c r="N203" s="49" t="s">
        <v>2179</v>
      </c>
      <c r="O203" s="49" t="s">
        <v>2425</v>
      </c>
      <c r="P203" s="6"/>
      <c r="Q203" s="5"/>
      <c r="R203" s="5"/>
      <c r="S203" s="5"/>
    </row>
    <row r="204" spans="2:19" ht="16.5" customHeight="1" x14ac:dyDescent="0.2">
      <c r="B204" s="6">
        <v>911</v>
      </c>
      <c r="C204" s="6">
        <v>11</v>
      </c>
      <c r="D204" s="33" t="s">
        <v>1261</v>
      </c>
      <c r="E204" s="6" t="s">
        <v>915</v>
      </c>
      <c r="F204" s="33" t="s">
        <v>1304</v>
      </c>
      <c r="G204" s="5" t="s">
        <v>1849</v>
      </c>
      <c r="H204" s="33" t="s">
        <v>1304</v>
      </c>
      <c r="I204" s="33" t="s">
        <v>1305</v>
      </c>
      <c r="J204" s="5" t="s">
        <v>1138</v>
      </c>
      <c r="K204" s="6" t="s">
        <v>1318</v>
      </c>
      <c r="L204" s="6" t="s">
        <v>1285</v>
      </c>
      <c r="M204" s="49" t="s">
        <v>469</v>
      </c>
      <c r="N204" s="49" t="s">
        <v>2179</v>
      </c>
      <c r="O204" s="49" t="s">
        <v>2425</v>
      </c>
      <c r="P204" s="6"/>
      <c r="Q204" s="5"/>
      <c r="R204" s="5"/>
      <c r="S204" s="5"/>
    </row>
    <row r="205" spans="2:19" ht="16.5" customHeight="1" x14ac:dyDescent="0.2">
      <c r="B205" s="6">
        <v>912</v>
      </c>
      <c r="C205" s="6">
        <v>12</v>
      </c>
      <c r="D205" s="33" t="s">
        <v>1262</v>
      </c>
      <c r="E205" s="6" t="s">
        <v>915</v>
      </c>
      <c r="F205" s="33" t="s">
        <v>1306</v>
      </c>
      <c r="G205" s="5" t="s">
        <v>1850</v>
      </c>
      <c r="H205" s="33" t="s">
        <v>1306</v>
      </c>
      <c r="I205" s="33" t="s">
        <v>1307</v>
      </c>
      <c r="J205" s="5" t="s">
        <v>1138</v>
      </c>
      <c r="K205" s="6" t="s">
        <v>1318</v>
      </c>
      <c r="L205" s="6" t="s">
        <v>1285</v>
      </c>
      <c r="M205" s="49" t="s">
        <v>469</v>
      </c>
      <c r="N205" s="49" t="s">
        <v>2179</v>
      </c>
      <c r="O205" s="49" t="s">
        <v>2425</v>
      </c>
      <c r="P205" s="6"/>
      <c r="Q205" s="5"/>
      <c r="R205" s="5"/>
      <c r="S205" s="5"/>
    </row>
    <row r="206" spans="2:19" ht="16.5" customHeight="1" x14ac:dyDescent="0.2">
      <c r="B206" s="6">
        <v>913</v>
      </c>
      <c r="C206" s="6">
        <v>13</v>
      </c>
      <c r="D206" s="33" t="s">
        <v>1263</v>
      </c>
      <c r="E206" s="6" t="s">
        <v>915</v>
      </c>
      <c r="F206" s="33" t="s">
        <v>1308</v>
      </c>
      <c r="G206" s="5" t="s">
        <v>1851</v>
      </c>
      <c r="H206" s="33" t="s">
        <v>1308</v>
      </c>
      <c r="I206" s="33" t="s">
        <v>1309</v>
      </c>
      <c r="J206" s="5" t="s">
        <v>1138</v>
      </c>
      <c r="K206" s="6" t="s">
        <v>1318</v>
      </c>
      <c r="L206" s="6" t="s">
        <v>1285</v>
      </c>
      <c r="M206" s="49" t="s">
        <v>469</v>
      </c>
      <c r="N206" s="49" t="s">
        <v>2179</v>
      </c>
      <c r="O206" s="49" t="s">
        <v>2425</v>
      </c>
      <c r="P206" s="6"/>
      <c r="Q206" s="5"/>
      <c r="R206" s="5"/>
      <c r="S206" s="5"/>
    </row>
    <row r="207" spans="2:19" ht="16.5" customHeight="1" x14ac:dyDescent="0.2">
      <c r="B207" s="6">
        <v>914</v>
      </c>
      <c r="C207" s="6">
        <v>14</v>
      </c>
      <c r="D207" s="33" t="s">
        <v>1264</v>
      </c>
      <c r="E207" s="6" t="s">
        <v>915</v>
      </c>
      <c r="F207" s="33" t="s">
        <v>1310</v>
      </c>
      <c r="G207" s="5" t="s">
        <v>1852</v>
      </c>
      <c r="H207" s="33" t="s">
        <v>1310</v>
      </c>
      <c r="I207" s="33" t="s">
        <v>1311</v>
      </c>
      <c r="J207" s="5" t="s">
        <v>1138</v>
      </c>
      <c r="K207" s="6" t="s">
        <v>1318</v>
      </c>
      <c r="L207" s="6" t="s">
        <v>1285</v>
      </c>
      <c r="M207" s="49" t="s">
        <v>469</v>
      </c>
      <c r="N207" s="49" t="s">
        <v>2179</v>
      </c>
      <c r="O207" s="49" t="s">
        <v>2425</v>
      </c>
      <c r="P207" s="6"/>
      <c r="Q207" s="5"/>
      <c r="R207" s="5"/>
      <c r="S207" s="5"/>
    </row>
    <row r="208" spans="2:19" ht="16.5" customHeight="1" x14ac:dyDescent="0.2">
      <c r="B208" s="6">
        <v>283</v>
      </c>
      <c r="C208" s="6">
        <v>83</v>
      </c>
      <c r="D208" s="33" t="s">
        <v>1266</v>
      </c>
      <c r="E208" s="6" t="s">
        <v>915</v>
      </c>
      <c r="F208" s="5" t="s">
        <v>1323</v>
      </c>
      <c r="G208" s="9" t="s">
        <v>1322</v>
      </c>
      <c r="H208" s="33" t="s">
        <v>1323</v>
      </c>
      <c r="I208" s="33" t="s">
        <v>1324</v>
      </c>
      <c r="J208" s="5" t="s">
        <v>1138</v>
      </c>
      <c r="K208" s="6" t="s">
        <v>886</v>
      </c>
      <c r="L208" s="6" t="s">
        <v>541</v>
      </c>
      <c r="M208" s="6" t="s">
        <v>469</v>
      </c>
      <c r="N208" s="49" t="s">
        <v>1663</v>
      </c>
      <c r="O208" s="49"/>
      <c r="P208" s="6"/>
      <c r="Q208" s="5"/>
      <c r="R208" s="5"/>
      <c r="S208" s="5"/>
    </row>
    <row r="209" spans="2:19" ht="16.5" customHeight="1" x14ac:dyDescent="0.2">
      <c r="B209" s="6">
        <v>282</v>
      </c>
      <c r="C209" s="6">
        <v>82</v>
      </c>
      <c r="D209" s="33" t="s">
        <v>1265</v>
      </c>
      <c r="E209" s="6" t="s">
        <v>915</v>
      </c>
      <c r="F209" s="5" t="s">
        <v>1320</v>
      </c>
      <c r="G209" s="9" t="s">
        <v>1319</v>
      </c>
      <c r="H209" s="33" t="s">
        <v>1320</v>
      </c>
      <c r="I209" s="33" t="s">
        <v>1321</v>
      </c>
      <c r="J209" s="5" t="s">
        <v>1138</v>
      </c>
      <c r="K209" s="6" t="s">
        <v>886</v>
      </c>
      <c r="L209" s="6" t="s">
        <v>541</v>
      </c>
      <c r="M209" s="6" t="s">
        <v>469</v>
      </c>
      <c r="N209" s="49" t="s">
        <v>1663</v>
      </c>
      <c r="O209" s="49"/>
      <c r="P209" s="6"/>
      <c r="Q209" s="5"/>
      <c r="R209" s="5"/>
      <c r="S209" s="5"/>
    </row>
    <row r="210" spans="2:19" ht="16.5" customHeight="1" x14ac:dyDescent="0.2">
      <c r="B210" s="6">
        <v>286</v>
      </c>
      <c r="C210" s="6">
        <v>86</v>
      </c>
      <c r="D210" s="33" t="s">
        <v>1269</v>
      </c>
      <c r="E210" s="6" t="s">
        <v>915</v>
      </c>
      <c r="F210" s="33" t="s">
        <v>1339</v>
      </c>
      <c r="G210" s="5" t="s">
        <v>1892</v>
      </c>
      <c r="H210" s="33" t="s">
        <v>1339</v>
      </c>
      <c r="I210" s="33" t="s">
        <v>1338</v>
      </c>
      <c r="J210" s="5" t="s">
        <v>1138</v>
      </c>
      <c r="K210" s="6" t="s">
        <v>123</v>
      </c>
      <c r="L210" s="6" t="s">
        <v>541</v>
      </c>
      <c r="M210" s="6" t="s">
        <v>469</v>
      </c>
      <c r="N210" s="49" t="s">
        <v>1663</v>
      </c>
      <c r="O210" s="49"/>
      <c r="P210" s="6"/>
      <c r="Q210" s="5"/>
      <c r="R210" s="5"/>
      <c r="S210" s="5"/>
    </row>
    <row r="211" spans="2:19" ht="16.5" customHeight="1" x14ac:dyDescent="0.2">
      <c r="B211" s="6">
        <v>851</v>
      </c>
      <c r="C211" s="6">
        <v>1</v>
      </c>
      <c r="D211" s="33" t="s">
        <v>1658</v>
      </c>
      <c r="E211" s="33" t="s">
        <v>1659</v>
      </c>
      <c r="F211" s="33" t="s">
        <v>1660</v>
      </c>
      <c r="G211" s="37" t="s">
        <v>2178</v>
      </c>
      <c r="H211" s="33" t="s">
        <v>1660</v>
      </c>
      <c r="I211" s="33" t="s">
        <v>1661</v>
      </c>
      <c r="J211" s="5" t="s">
        <v>1138</v>
      </c>
      <c r="K211" s="6" t="s">
        <v>886</v>
      </c>
      <c r="L211" s="6" t="s">
        <v>541</v>
      </c>
      <c r="M211" s="49" t="s">
        <v>469</v>
      </c>
      <c r="N211" s="6" t="s">
        <v>2823</v>
      </c>
      <c r="P211" s="6"/>
      <c r="Q211" s="5"/>
      <c r="R211" s="5"/>
      <c r="S211" s="5"/>
    </row>
    <row r="212" spans="2:19" ht="16.5" customHeight="1" x14ac:dyDescent="0.2">
      <c r="B212" s="6">
        <v>289</v>
      </c>
      <c r="C212" s="6">
        <v>89</v>
      </c>
      <c r="D212" s="33" t="s">
        <v>1670</v>
      </c>
      <c r="E212" s="6" t="s">
        <v>915</v>
      </c>
      <c r="F212" s="33" t="s">
        <v>1676</v>
      </c>
      <c r="G212" s="9" t="s">
        <v>1683</v>
      </c>
      <c r="H212" s="33" t="s">
        <v>1676</v>
      </c>
      <c r="I212" s="33" t="s">
        <v>1679</v>
      </c>
      <c r="J212" s="5" t="s">
        <v>1138</v>
      </c>
      <c r="K212" s="6" t="s">
        <v>225</v>
      </c>
      <c r="L212" s="6" t="s">
        <v>514</v>
      </c>
      <c r="M212" s="49" t="s">
        <v>469</v>
      </c>
      <c r="N212" s="6" t="s">
        <v>1663</v>
      </c>
      <c r="P212" s="6"/>
      <c r="Q212" s="5"/>
      <c r="R212" s="5"/>
      <c r="S212" s="5"/>
    </row>
    <row r="213" spans="2:19" ht="16.5" customHeight="1" x14ac:dyDescent="0.2">
      <c r="B213" s="6">
        <v>920</v>
      </c>
      <c r="C213" s="6">
        <v>20</v>
      </c>
      <c r="D213" s="33" t="s">
        <v>1671</v>
      </c>
      <c r="E213" s="6" t="s">
        <v>915</v>
      </c>
      <c r="F213" s="33" t="s">
        <v>1677</v>
      </c>
      <c r="G213" s="9" t="s">
        <v>1684</v>
      </c>
      <c r="H213" s="33" t="s">
        <v>1677</v>
      </c>
      <c r="I213" s="33" t="s">
        <v>1678</v>
      </c>
      <c r="J213" s="5" t="s">
        <v>1138</v>
      </c>
      <c r="K213" s="6" t="s">
        <v>1685</v>
      </c>
      <c r="L213" s="6" t="s">
        <v>514</v>
      </c>
      <c r="M213" s="49" t="s">
        <v>469</v>
      </c>
      <c r="N213" s="49" t="s">
        <v>2179</v>
      </c>
      <c r="O213" s="6" t="s">
        <v>2425</v>
      </c>
      <c r="P213" s="6"/>
      <c r="Q213" s="5"/>
      <c r="R213" s="5"/>
      <c r="S213" s="5"/>
    </row>
    <row r="214" spans="2:19" ht="16.5" customHeight="1" x14ac:dyDescent="0.2">
      <c r="B214" s="6">
        <v>921</v>
      </c>
      <c r="C214" s="6">
        <v>21</v>
      </c>
      <c r="D214" s="33" t="s">
        <v>1672</v>
      </c>
      <c r="E214" s="6" t="s">
        <v>915</v>
      </c>
      <c r="F214" s="33" t="s">
        <v>1682</v>
      </c>
      <c r="G214" s="9" t="s">
        <v>1697</v>
      </c>
      <c r="H214" s="33" t="s">
        <v>1682</v>
      </c>
      <c r="I214" s="33" t="s">
        <v>1680</v>
      </c>
      <c r="J214" s="5" t="s">
        <v>1138</v>
      </c>
      <c r="K214" s="6" t="s">
        <v>1685</v>
      </c>
      <c r="L214" s="6" t="s">
        <v>514</v>
      </c>
      <c r="M214" s="49" t="s">
        <v>469</v>
      </c>
      <c r="N214" s="49" t="s">
        <v>2179</v>
      </c>
      <c r="O214" s="6" t="s">
        <v>2425</v>
      </c>
      <c r="P214" s="6"/>
      <c r="Q214" s="5"/>
      <c r="R214" s="5"/>
      <c r="S214" s="5"/>
    </row>
    <row r="215" spans="2:19" ht="16.5" customHeight="1" x14ac:dyDescent="0.2">
      <c r="B215" s="6">
        <v>296</v>
      </c>
      <c r="C215" s="6">
        <v>96</v>
      </c>
      <c r="D215" s="33" t="s">
        <v>1692</v>
      </c>
      <c r="E215" s="6" t="s">
        <v>915</v>
      </c>
      <c r="F215" s="33" t="s">
        <v>1701</v>
      </c>
      <c r="G215" s="37" t="s">
        <v>1780</v>
      </c>
      <c r="H215" s="33" t="s">
        <v>1701</v>
      </c>
      <c r="I215" s="33" t="s">
        <v>1702</v>
      </c>
      <c r="J215" s="5" t="s">
        <v>1138</v>
      </c>
      <c r="K215" s="6" t="s">
        <v>1781</v>
      </c>
      <c r="L215" s="6" t="s">
        <v>514</v>
      </c>
      <c r="M215" s="49" t="s">
        <v>469</v>
      </c>
      <c r="N215" s="6" t="s">
        <v>1663</v>
      </c>
      <c r="P215" s="6"/>
      <c r="Q215" s="5"/>
      <c r="R215" s="5"/>
      <c r="S215" s="5"/>
    </row>
    <row r="216" spans="2:19" ht="16.5" customHeight="1" x14ac:dyDescent="0.2">
      <c r="B216" s="6">
        <v>297</v>
      </c>
      <c r="C216" s="6">
        <v>97</v>
      </c>
      <c r="D216" s="33" t="s">
        <v>1693</v>
      </c>
      <c r="E216" s="6" t="s">
        <v>915</v>
      </c>
      <c r="F216" s="33" t="s">
        <v>1703</v>
      </c>
      <c r="G216" s="9" t="s">
        <v>1725</v>
      </c>
      <c r="H216" s="33" t="s">
        <v>1703</v>
      </c>
      <c r="I216" s="33" t="s">
        <v>1704</v>
      </c>
      <c r="J216" s="5" t="s">
        <v>1138</v>
      </c>
      <c r="K216" s="49" t="s">
        <v>1726</v>
      </c>
      <c r="L216" s="6" t="s">
        <v>514</v>
      </c>
      <c r="M216" s="49" t="s">
        <v>469</v>
      </c>
      <c r="N216" s="6" t="s">
        <v>1663</v>
      </c>
      <c r="P216" s="6"/>
      <c r="Q216" s="5"/>
      <c r="R216" s="5"/>
      <c r="S216" s="5"/>
    </row>
    <row r="217" spans="2:19" ht="16.5" customHeight="1" x14ac:dyDescent="0.2">
      <c r="B217" s="6">
        <v>298</v>
      </c>
      <c r="C217" s="6">
        <v>98</v>
      </c>
      <c r="D217" s="33" t="s">
        <v>1705</v>
      </c>
      <c r="E217" s="6" t="s">
        <v>915</v>
      </c>
      <c r="F217" s="33" t="s">
        <v>1709</v>
      </c>
      <c r="G217" s="9" t="s">
        <v>1783</v>
      </c>
      <c r="H217" s="33" t="s">
        <v>1709</v>
      </c>
      <c r="I217" s="33" t="s">
        <v>1710</v>
      </c>
      <c r="J217" s="5" t="s">
        <v>1138</v>
      </c>
      <c r="K217" s="6" t="s">
        <v>1781</v>
      </c>
      <c r="L217" s="6" t="s">
        <v>514</v>
      </c>
      <c r="M217" s="49" t="s">
        <v>469</v>
      </c>
      <c r="N217" s="6" t="s">
        <v>1663</v>
      </c>
      <c r="P217" s="6"/>
      <c r="Q217" s="5"/>
      <c r="R217" s="5"/>
      <c r="S217" s="5"/>
    </row>
    <row r="218" spans="2:19" ht="16.5" customHeight="1" x14ac:dyDescent="0.2">
      <c r="B218" s="6">
        <v>299</v>
      </c>
      <c r="C218" s="6">
        <v>99</v>
      </c>
      <c r="D218" s="33" t="s">
        <v>1706</v>
      </c>
      <c r="E218" s="6" t="s">
        <v>915</v>
      </c>
      <c r="F218" s="33" t="s">
        <v>1711</v>
      </c>
      <c r="G218" s="9" t="s">
        <v>1728</v>
      </c>
      <c r="H218" s="33" t="s">
        <v>1711</v>
      </c>
      <c r="I218" s="33" t="s">
        <v>1712</v>
      </c>
      <c r="J218" s="5" t="s">
        <v>1138</v>
      </c>
      <c r="K218" s="6" t="s">
        <v>1713</v>
      </c>
      <c r="L218" s="6" t="s">
        <v>514</v>
      </c>
      <c r="M218" s="49" t="s">
        <v>469</v>
      </c>
      <c r="N218" s="6" t="s">
        <v>1663</v>
      </c>
      <c r="P218" s="6"/>
      <c r="Q218" s="5"/>
      <c r="R218" s="5"/>
      <c r="S218" s="5"/>
    </row>
    <row r="219" spans="2:19" ht="16.5" customHeight="1" x14ac:dyDescent="0.2">
      <c r="B219" s="6">
        <v>301</v>
      </c>
      <c r="C219" s="6">
        <v>101</v>
      </c>
      <c r="D219" s="33" t="s">
        <v>1708</v>
      </c>
      <c r="E219" s="6" t="s">
        <v>915</v>
      </c>
      <c r="F219" s="33" t="s">
        <v>1714</v>
      </c>
      <c r="G219" s="9" t="s">
        <v>1722</v>
      </c>
      <c r="H219" s="33" t="s">
        <v>1714</v>
      </c>
      <c r="I219" s="33" t="s">
        <v>1715</v>
      </c>
      <c r="J219" s="5" t="s">
        <v>1138</v>
      </c>
      <c r="K219" s="6" t="s">
        <v>1716</v>
      </c>
      <c r="L219" s="6" t="s">
        <v>514</v>
      </c>
      <c r="M219" s="49" t="s">
        <v>469</v>
      </c>
      <c r="N219" s="6" t="s">
        <v>1663</v>
      </c>
      <c r="O219" s="6" t="s">
        <v>2515</v>
      </c>
      <c r="P219" s="6"/>
      <c r="Q219" s="5"/>
      <c r="R219" s="5"/>
      <c r="S219" s="5"/>
    </row>
    <row r="220" spans="2:19" ht="16.5" customHeight="1" x14ac:dyDescent="0.2">
      <c r="B220" s="6">
        <v>305</v>
      </c>
      <c r="C220" s="6">
        <v>105</v>
      </c>
      <c r="D220" s="33" t="s">
        <v>1729</v>
      </c>
      <c r="E220" s="6" t="s">
        <v>915</v>
      </c>
      <c r="F220" s="33" t="s">
        <v>1736</v>
      </c>
      <c r="G220" s="37" t="s">
        <v>1957</v>
      </c>
      <c r="H220" s="33" t="s">
        <v>1736</v>
      </c>
      <c r="I220" s="33" t="s">
        <v>1737</v>
      </c>
      <c r="J220" s="5" t="s">
        <v>1138</v>
      </c>
      <c r="K220" s="6" t="s">
        <v>1781</v>
      </c>
      <c r="L220" s="6" t="s">
        <v>514</v>
      </c>
      <c r="M220" s="49" t="s">
        <v>469</v>
      </c>
      <c r="N220" s="6" t="s">
        <v>1663</v>
      </c>
      <c r="P220" s="6"/>
      <c r="Q220" s="5"/>
      <c r="R220" s="5"/>
      <c r="S220" s="5"/>
    </row>
    <row r="221" spans="2:19" ht="16.5" customHeight="1" x14ac:dyDescent="0.2">
      <c r="B221" s="6">
        <v>306</v>
      </c>
      <c r="C221" s="6">
        <v>106</v>
      </c>
      <c r="D221" s="33" t="s">
        <v>1730</v>
      </c>
      <c r="E221" s="6" t="s">
        <v>915</v>
      </c>
      <c r="F221" s="33" t="s">
        <v>1738</v>
      </c>
      <c r="G221" s="9" t="s">
        <v>1785</v>
      </c>
      <c r="H221" s="33" t="s">
        <v>1738</v>
      </c>
      <c r="I221" s="33" t="s">
        <v>1739</v>
      </c>
      <c r="J221" s="5" t="s">
        <v>1138</v>
      </c>
      <c r="K221" s="6" t="s">
        <v>1786</v>
      </c>
      <c r="L221" s="6" t="s">
        <v>514</v>
      </c>
      <c r="M221" s="49" t="s">
        <v>469</v>
      </c>
      <c r="N221" s="6" t="s">
        <v>1663</v>
      </c>
      <c r="P221" s="6"/>
      <c r="Q221" s="5"/>
      <c r="R221" s="5"/>
      <c r="S221" s="5"/>
    </row>
    <row r="222" spans="2:19" ht="16.5" customHeight="1" x14ac:dyDescent="0.2">
      <c r="B222" s="6">
        <v>307</v>
      </c>
      <c r="C222" s="6">
        <v>107</v>
      </c>
      <c r="D222" s="33" t="s">
        <v>1731</v>
      </c>
      <c r="E222" s="6" t="s">
        <v>915</v>
      </c>
      <c r="F222" s="33" t="s">
        <v>1741</v>
      </c>
      <c r="G222" s="9" t="s">
        <v>1782</v>
      </c>
      <c r="H222" s="33" t="s">
        <v>1741</v>
      </c>
      <c r="I222" s="33" t="s">
        <v>1740</v>
      </c>
      <c r="J222" s="5" t="s">
        <v>1138</v>
      </c>
      <c r="K222" s="6" t="s">
        <v>1781</v>
      </c>
      <c r="L222" s="6" t="s">
        <v>514</v>
      </c>
      <c r="M222" s="49" t="s">
        <v>469</v>
      </c>
      <c r="N222" s="6" t="s">
        <v>1663</v>
      </c>
      <c r="P222" s="6"/>
      <c r="Q222" s="5"/>
      <c r="R222" s="5"/>
      <c r="S222" s="5"/>
    </row>
    <row r="223" spans="2:19" ht="16.5" customHeight="1" x14ac:dyDescent="0.2">
      <c r="B223" s="6">
        <v>308</v>
      </c>
      <c r="C223" s="6">
        <v>108</v>
      </c>
      <c r="D223" s="33" t="s">
        <v>1732</v>
      </c>
      <c r="E223" s="6" t="s">
        <v>915</v>
      </c>
      <c r="F223" s="33" t="s">
        <v>1742</v>
      </c>
      <c r="G223" s="9" t="s">
        <v>1784</v>
      </c>
      <c r="H223" s="33" t="s">
        <v>1742</v>
      </c>
      <c r="I223" s="33" t="s">
        <v>1743</v>
      </c>
      <c r="J223" s="5" t="s">
        <v>1138</v>
      </c>
      <c r="K223" s="6" t="s">
        <v>1781</v>
      </c>
      <c r="L223" s="6" t="s">
        <v>514</v>
      </c>
      <c r="M223" s="49" t="s">
        <v>469</v>
      </c>
      <c r="N223" s="6" t="s">
        <v>1663</v>
      </c>
      <c r="P223" s="6"/>
      <c r="Q223" s="5"/>
      <c r="R223" s="5"/>
      <c r="S223" s="5"/>
    </row>
    <row r="224" spans="2:19" ht="16.5" customHeight="1" x14ac:dyDescent="0.2">
      <c r="B224" s="6">
        <v>312</v>
      </c>
      <c r="C224" s="6">
        <v>112</v>
      </c>
      <c r="D224" s="33" t="s">
        <v>1747</v>
      </c>
      <c r="E224" s="6" t="s">
        <v>915</v>
      </c>
      <c r="F224" s="33" t="s">
        <v>1749</v>
      </c>
      <c r="G224" s="9" t="s">
        <v>1964</v>
      </c>
      <c r="H224" s="33" t="s">
        <v>1749</v>
      </c>
      <c r="I224" s="33" t="s">
        <v>1750</v>
      </c>
      <c r="J224" s="5" t="s">
        <v>1138</v>
      </c>
      <c r="K224" s="6" t="s">
        <v>1781</v>
      </c>
      <c r="L224" s="6" t="s">
        <v>514</v>
      </c>
      <c r="M224" s="49" t="s">
        <v>469</v>
      </c>
      <c r="N224" s="6" t="s">
        <v>1663</v>
      </c>
      <c r="P224" s="6"/>
      <c r="Q224" s="5"/>
      <c r="R224" s="5"/>
      <c r="S224" s="5"/>
    </row>
    <row r="225" spans="2:19" ht="16.5" customHeight="1" x14ac:dyDescent="0.2">
      <c r="B225" s="6">
        <v>313</v>
      </c>
      <c r="C225" s="6">
        <v>113</v>
      </c>
      <c r="D225" s="33" t="s">
        <v>1748</v>
      </c>
      <c r="E225" s="6" t="s">
        <v>915</v>
      </c>
      <c r="F225" s="33" t="s">
        <v>1751</v>
      </c>
      <c r="G225" s="9" t="s">
        <v>1958</v>
      </c>
      <c r="H225" s="33" t="s">
        <v>1751</v>
      </c>
      <c r="I225" s="33" t="s">
        <v>1752</v>
      </c>
      <c r="J225" s="5" t="s">
        <v>1138</v>
      </c>
      <c r="K225" s="6" t="s">
        <v>1781</v>
      </c>
      <c r="L225" s="6" t="s">
        <v>514</v>
      </c>
      <c r="M225" s="49" t="s">
        <v>469</v>
      </c>
      <c r="N225" s="6" t="s">
        <v>1663</v>
      </c>
      <c r="P225" s="6"/>
      <c r="Q225" s="5"/>
      <c r="R225" s="5"/>
      <c r="S225" s="5"/>
    </row>
    <row r="226" spans="2:19" ht="16.5" customHeight="1" x14ac:dyDescent="0.2">
      <c r="B226" s="6">
        <v>314</v>
      </c>
      <c r="C226" s="6">
        <v>114</v>
      </c>
      <c r="D226" s="33" t="s">
        <v>1765</v>
      </c>
      <c r="E226" s="6" t="s">
        <v>915</v>
      </c>
      <c r="F226" s="33" t="s">
        <v>1753</v>
      </c>
      <c r="G226" s="9" t="s">
        <v>1962</v>
      </c>
      <c r="H226" s="33" t="s">
        <v>1753</v>
      </c>
      <c r="I226" s="33" t="s">
        <v>1761</v>
      </c>
      <c r="J226" s="5" t="s">
        <v>1138</v>
      </c>
      <c r="K226" s="6" t="s">
        <v>1781</v>
      </c>
      <c r="L226" s="6" t="s">
        <v>514</v>
      </c>
      <c r="M226" s="49" t="s">
        <v>469</v>
      </c>
      <c r="N226" s="6" t="s">
        <v>1663</v>
      </c>
      <c r="P226" s="6"/>
      <c r="Q226" s="5"/>
      <c r="R226" s="5"/>
      <c r="S226" s="5"/>
    </row>
    <row r="227" spans="2:19" ht="16.5" customHeight="1" x14ac:dyDescent="0.2">
      <c r="B227" s="6">
        <v>315</v>
      </c>
      <c r="C227" s="6">
        <v>115</v>
      </c>
      <c r="D227" s="33" t="s">
        <v>1766</v>
      </c>
      <c r="E227" s="6" t="s">
        <v>915</v>
      </c>
      <c r="F227" s="33" t="s">
        <v>1754</v>
      </c>
      <c r="G227" s="9" t="s">
        <v>1965</v>
      </c>
      <c r="H227" s="33" t="s">
        <v>1754</v>
      </c>
      <c r="I227" s="33" t="s">
        <v>1764</v>
      </c>
      <c r="J227" s="5" t="s">
        <v>1138</v>
      </c>
      <c r="K227" s="6" t="s">
        <v>1781</v>
      </c>
      <c r="L227" s="6" t="s">
        <v>514</v>
      </c>
      <c r="M227" s="49" t="s">
        <v>469</v>
      </c>
      <c r="N227" s="6" t="s">
        <v>1663</v>
      </c>
      <c r="P227" s="6"/>
      <c r="Q227" s="5"/>
      <c r="R227" s="5"/>
      <c r="S227" s="5"/>
    </row>
    <row r="228" spans="2:19" ht="16.5" customHeight="1" x14ac:dyDescent="0.2">
      <c r="B228" s="6">
        <v>316</v>
      </c>
      <c r="C228" s="6">
        <v>116</v>
      </c>
      <c r="D228" s="33" t="s">
        <v>1767</v>
      </c>
      <c r="E228" s="6" t="s">
        <v>915</v>
      </c>
      <c r="F228" s="33" t="s">
        <v>1755</v>
      </c>
      <c r="G228" s="9" t="s">
        <v>1961</v>
      </c>
      <c r="H228" s="33" t="s">
        <v>1755</v>
      </c>
      <c r="I228" s="33" t="s">
        <v>1763</v>
      </c>
      <c r="J228" s="5" t="s">
        <v>1138</v>
      </c>
      <c r="K228" s="6" t="s">
        <v>1781</v>
      </c>
      <c r="L228" s="6" t="s">
        <v>514</v>
      </c>
      <c r="M228" s="49" t="s">
        <v>469</v>
      </c>
      <c r="N228" s="6" t="s">
        <v>1663</v>
      </c>
      <c r="P228" s="6"/>
      <c r="Q228" s="5"/>
      <c r="R228" s="5"/>
      <c r="S228" s="5"/>
    </row>
    <row r="229" spans="2:19" ht="16.5" customHeight="1" x14ac:dyDescent="0.2">
      <c r="B229" s="6">
        <v>317</v>
      </c>
      <c r="C229" s="6">
        <v>117</v>
      </c>
      <c r="D229" s="33" t="s">
        <v>1768</v>
      </c>
      <c r="E229" s="6" t="s">
        <v>915</v>
      </c>
      <c r="F229" s="33" t="s">
        <v>1756</v>
      </c>
      <c r="G229" s="9" t="s">
        <v>1960</v>
      </c>
      <c r="H229" s="33" t="s">
        <v>1756</v>
      </c>
      <c r="I229" s="33" t="s">
        <v>1762</v>
      </c>
      <c r="J229" s="5" t="s">
        <v>1138</v>
      </c>
      <c r="K229" s="6" t="s">
        <v>1781</v>
      </c>
      <c r="L229" s="6" t="s">
        <v>514</v>
      </c>
      <c r="M229" s="49" t="s">
        <v>469</v>
      </c>
      <c r="N229" s="6" t="s">
        <v>1663</v>
      </c>
      <c r="P229" s="6"/>
      <c r="Q229" s="5"/>
      <c r="R229" s="5"/>
      <c r="S229" s="5"/>
    </row>
    <row r="230" spans="2:19" ht="16.5" customHeight="1" x14ac:dyDescent="0.2">
      <c r="B230" s="6">
        <v>318</v>
      </c>
      <c r="C230" s="6">
        <v>118</v>
      </c>
      <c r="D230" s="33" t="s">
        <v>1769</v>
      </c>
      <c r="E230" s="6" t="s">
        <v>915</v>
      </c>
      <c r="F230" s="33" t="s">
        <v>1757</v>
      </c>
      <c r="G230" s="9" t="s">
        <v>1966</v>
      </c>
      <c r="H230" s="33" t="s">
        <v>1757</v>
      </c>
      <c r="I230" s="33" t="s">
        <v>1776</v>
      </c>
      <c r="J230" s="5" t="s">
        <v>1138</v>
      </c>
      <c r="K230" s="6" t="s">
        <v>180</v>
      </c>
      <c r="L230" s="6" t="s">
        <v>514</v>
      </c>
      <c r="M230" s="49" t="s">
        <v>469</v>
      </c>
      <c r="N230" s="6" t="s">
        <v>1663</v>
      </c>
      <c r="P230" s="6"/>
      <c r="Q230" s="5"/>
      <c r="R230" s="5"/>
      <c r="S230" s="5"/>
    </row>
    <row r="231" spans="2:19" ht="16.5" customHeight="1" x14ac:dyDescent="0.2">
      <c r="B231" s="6">
        <v>319</v>
      </c>
      <c r="C231" s="6">
        <v>119</v>
      </c>
      <c r="D231" s="33" t="s">
        <v>1770</v>
      </c>
      <c r="E231" s="6" t="s">
        <v>915</v>
      </c>
      <c r="F231" s="33" t="s">
        <v>1758</v>
      </c>
      <c r="G231" s="9" t="s">
        <v>2691</v>
      </c>
      <c r="H231" s="33" t="s">
        <v>1758</v>
      </c>
      <c r="I231" s="33" t="s">
        <v>1777</v>
      </c>
      <c r="J231" s="5" t="s">
        <v>1138</v>
      </c>
      <c r="K231" s="6" t="s">
        <v>1781</v>
      </c>
      <c r="L231" s="6" t="s">
        <v>514</v>
      </c>
      <c r="M231" s="49" t="s">
        <v>469</v>
      </c>
      <c r="N231" s="6" t="s">
        <v>1663</v>
      </c>
      <c r="P231" s="6"/>
      <c r="Q231" s="5"/>
      <c r="R231" s="5"/>
      <c r="S231" s="5"/>
    </row>
    <row r="232" spans="2:19" ht="16.5" customHeight="1" x14ac:dyDescent="0.2">
      <c r="B232" s="6">
        <v>320</v>
      </c>
      <c r="C232" s="6">
        <v>120</v>
      </c>
      <c r="D232" s="33" t="s">
        <v>1771</v>
      </c>
      <c r="E232" s="6" t="s">
        <v>915</v>
      </c>
      <c r="F232" s="33" t="s">
        <v>1759</v>
      </c>
      <c r="G232" s="37" t="s">
        <v>1956</v>
      </c>
      <c r="H232" s="33" t="s">
        <v>1759</v>
      </c>
      <c r="I232" s="33" t="s">
        <v>1778</v>
      </c>
      <c r="J232" s="5" t="s">
        <v>1138</v>
      </c>
      <c r="K232" s="6" t="s">
        <v>1781</v>
      </c>
      <c r="L232" s="6" t="s">
        <v>514</v>
      </c>
      <c r="M232" s="49" t="s">
        <v>469</v>
      </c>
      <c r="N232" s="6" t="s">
        <v>1663</v>
      </c>
      <c r="P232" s="6"/>
      <c r="Q232" s="5"/>
      <c r="R232" s="5"/>
      <c r="S232" s="5"/>
    </row>
    <row r="233" spans="2:19" ht="16.5" customHeight="1" x14ac:dyDescent="0.2">
      <c r="B233" s="6">
        <v>321</v>
      </c>
      <c r="C233" s="6">
        <v>121</v>
      </c>
      <c r="D233" s="33" t="s">
        <v>1772</v>
      </c>
      <c r="E233" s="6" t="s">
        <v>915</v>
      </c>
      <c r="F233" s="33" t="s">
        <v>1760</v>
      </c>
      <c r="G233" s="9" t="s">
        <v>1959</v>
      </c>
      <c r="H233" s="33" t="s">
        <v>1760</v>
      </c>
      <c r="I233" s="33" t="s">
        <v>1779</v>
      </c>
      <c r="J233" s="5" t="s">
        <v>1138</v>
      </c>
      <c r="K233" s="6" t="s">
        <v>1781</v>
      </c>
      <c r="L233" s="6" t="s">
        <v>514</v>
      </c>
      <c r="M233" s="49" t="s">
        <v>469</v>
      </c>
      <c r="N233" s="6" t="s">
        <v>1663</v>
      </c>
      <c r="P233" s="6"/>
      <c r="Q233" s="5"/>
      <c r="R233" s="5"/>
      <c r="S233" s="5"/>
    </row>
    <row r="234" spans="2:19" ht="16.5" customHeight="1" x14ac:dyDescent="0.2">
      <c r="B234" s="6">
        <v>322</v>
      </c>
      <c r="C234" s="6">
        <v>122</v>
      </c>
      <c r="D234" s="33" t="s">
        <v>1773</v>
      </c>
      <c r="E234" s="6" t="s">
        <v>915</v>
      </c>
      <c r="F234" s="33" t="s">
        <v>1810</v>
      </c>
      <c r="G234" s="37" t="s">
        <v>1812</v>
      </c>
      <c r="H234" s="33" t="s">
        <v>1810</v>
      </c>
      <c r="I234" s="33" t="s">
        <v>1811</v>
      </c>
      <c r="J234" s="5" t="s">
        <v>1138</v>
      </c>
      <c r="K234" s="6" t="s">
        <v>225</v>
      </c>
      <c r="L234" s="6" t="s">
        <v>514</v>
      </c>
      <c r="M234" s="49" t="s">
        <v>469</v>
      </c>
      <c r="N234" s="6" t="s">
        <v>1663</v>
      </c>
      <c r="P234" s="6"/>
      <c r="Q234" s="5"/>
      <c r="R234" s="5"/>
      <c r="S234" s="5"/>
    </row>
    <row r="235" spans="2:19" ht="16.5" customHeight="1" x14ac:dyDescent="0.2">
      <c r="B235" s="6">
        <v>323</v>
      </c>
      <c r="C235" s="6">
        <v>123</v>
      </c>
      <c r="D235" s="33" t="s">
        <v>1774</v>
      </c>
      <c r="E235" s="6" t="s">
        <v>915</v>
      </c>
      <c r="F235" s="33" t="s">
        <v>1813</v>
      </c>
      <c r="G235" s="37" t="s">
        <v>1967</v>
      </c>
      <c r="H235" s="33" t="s">
        <v>1813</v>
      </c>
      <c r="I235" s="33" t="s">
        <v>1815</v>
      </c>
      <c r="J235" s="5" t="s">
        <v>1138</v>
      </c>
      <c r="K235" s="6" t="s">
        <v>309</v>
      </c>
      <c r="L235" s="6" t="s">
        <v>541</v>
      </c>
      <c r="M235" s="49" t="s">
        <v>469</v>
      </c>
      <c r="N235" s="6" t="s">
        <v>1663</v>
      </c>
      <c r="P235" s="6"/>
      <c r="Q235" s="5"/>
      <c r="R235" s="5"/>
      <c r="S235" s="5"/>
    </row>
    <row r="236" spans="2:19" ht="16.5" customHeight="1" x14ac:dyDescent="0.2">
      <c r="B236" s="6">
        <v>324</v>
      </c>
      <c r="C236" s="6">
        <v>124</v>
      </c>
      <c r="D236" s="33" t="s">
        <v>1775</v>
      </c>
      <c r="E236" s="6" t="s">
        <v>915</v>
      </c>
      <c r="F236" s="33" t="s">
        <v>1814</v>
      </c>
      <c r="G236" s="37" t="s">
        <v>1968</v>
      </c>
      <c r="H236" s="33" t="s">
        <v>1814</v>
      </c>
      <c r="I236" s="33" t="s">
        <v>1816</v>
      </c>
      <c r="J236" s="5" t="s">
        <v>1138</v>
      </c>
      <c r="K236" s="6" t="s">
        <v>309</v>
      </c>
      <c r="L236" s="6" t="s">
        <v>541</v>
      </c>
      <c r="M236" s="49" t="s">
        <v>469</v>
      </c>
      <c r="N236" s="6" t="s">
        <v>1663</v>
      </c>
      <c r="P236" s="6"/>
      <c r="Q236" s="5"/>
      <c r="R236" s="5"/>
      <c r="S236" s="5"/>
    </row>
    <row r="237" spans="2:19" ht="16.5" customHeight="1" x14ac:dyDescent="0.2">
      <c r="B237" s="6">
        <v>325</v>
      </c>
      <c r="C237" s="6">
        <v>125</v>
      </c>
      <c r="D237" s="33" t="s">
        <v>1788</v>
      </c>
      <c r="E237" s="6" t="s">
        <v>915</v>
      </c>
      <c r="F237" s="33" t="s">
        <v>1817</v>
      </c>
      <c r="G237" s="37" t="s">
        <v>1969</v>
      </c>
      <c r="H237" s="33" t="s">
        <v>1817</v>
      </c>
      <c r="I237" s="33" t="s">
        <v>1818</v>
      </c>
      <c r="J237" s="5" t="s">
        <v>1138</v>
      </c>
      <c r="K237" s="6" t="s">
        <v>309</v>
      </c>
      <c r="L237" s="6" t="s">
        <v>541</v>
      </c>
      <c r="M237" s="49" t="s">
        <v>469</v>
      </c>
      <c r="N237" s="6" t="s">
        <v>1663</v>
      </c>
      <c r="P237" s="6"/>
      <c r="Q237" s="5"/>
      <c r="R237" s="5"/>
      <c r="S237" s="5"/>
    </row>
    <row r="238" spans="2:19" ht="16.5" customHeight="1" x14ac:dyDescent="0.2">
      <c r="B238" s="6">
        <v>326</v>
      </c>
      <c r="C238" s="6">
        <v>126</v>
      </c>
      <c r="D238" s="33" t="s">
        <v>1789</v>
      </c>
      <c r="E238" s="6" t="s">
        <v>915</v>
      </c>
      <c r="F238" s="33" t="s">
        <v>1819</v>
      </c>
      <c r="G238" s="9" t="s">
        <v>1821</v>
      </c>
      <c r="H238" s="33" t="s">
        <v>1819</v>
      </c>
      <c r="I238" s="33" t="s">
        <v>1820</v>
      </c>
      <c r="J238" s="5" t="s">
        <v>1138</v>
      </c>
      <c r="K238" s="6" t="s">
        <v>309</v>
      </c>
      <c r="L238" s="6" t="s">
        <v>541</v>
      </c>
      <c r="M238" s="49" t="s">
        <v>469</v>
      </c>
      <c r="N238" s="6" t="s">
        <v>1663</v>
      </c>
      <c r="P238" s="6"/>
      <c r="Q238" s="5"/>
      <c r="R238" s="5"/>
      <c r="S238" s="5"/>
    </row>
    <row r="239" spans="2:19" ht="16.5" customHeight="1" x14ac:dyDescent="0.2">
      <c r="B239" s="6">
        <v>327</v>
      </c>
      <c r="C239" s="6">
        <v>127</v>
      </c>
      <c r="D239" s="33" t="s">
        <v>1790</v>
      </c>
      <c r="E239" s="6" t="s">
        <v>915</v>
      </c>
      <c r="F239" s="33" t="s">
        <v>1822</v>
      </c>
      <c r="G239" s="37" t="s">
        <v>2119</v>
      </c>
      <c r="H239" s="33" t="s">
        <v>1822</v>
      </c>
      <c r="I239" s="33" t="s">
        <v>1823</v>
      </c>
      <c r="J239" s="5" t="s">
        <v>1138</v>
      </c>
      <c r="K239" s="6" t="s">
        <v>309</v>
      </c>
      <c r="L239" s="6" t="s">
        <v>541</v>
      </c>
      <c r="M239" s="49" t="s">
        <v>469</v>
      </c>
      <c r="N239" s="6" t="s">
        <v>1663</v>
      </c>
      <c r="P239" s="6"/>
      <c r="Q239" s="5"/>
      <c r="R239" s="5"/>
      <c r="S239" s="5"/>
    </row>
    <row r="240" spans="2:19" ht="16.5" customHeight="1" x14ac:dyDescent="0.2">
      <c r="B240" s="6">
        <v>328</v>
      </c>
      <c r="C240" s="6">
        <v>128</v>
      </c>
      <c r="D240" s="33" t="s">
        <v>1791</v>
      </c>
      <c r="E240" s="6" t="s">
        <v>915</v>
      </c>
      <c r="F240" s="33" t="s">
        <v>1824</v>
      </c>
      <c r="G240" s="37" t="s">
        <v>2120</v>
      </c>
      <c r="H240" s="33" t="s">
        <v>1824</v>
      </c>
      <c r="I240" s="33" t="s">
        <v>1825</v>
      </c>
      <c r="J240" s="5" t="s">
        <v>1138</v>
      </c>
      <c r="K240" s="6" t="s">
        <v>309</v>
      </c>
      <c r="L240" s="6" t="s">
        <v>541</v>
      </c>
      <c r="M240" s="49" t="s">
        <v>469</v>
      </c>
      <c r="N240" s="6" t="s">
        <v>1663</v>
      </c>
      <c r="P240" s="6"/>
      <c r="Q240" s="5"/>
      <c r="R240" s="5"/>
      <c r="S240" s="5"/>
    </row>
    <row r="241" spans="2:19" ht="16.5" customHeight="1" x14ac:dyDescent="0.2">
      <c r="B241" s="6">
        <v>329</v>
      </c>
      <c r="C241" s="6">
        <v>129</v>
      </c>
      <c r="D241" s="33" t="s">
        <v>1792</v>
      </c>
      <c r="E241" s="6" t="s">
        <v>915</v>
      </c>
      <c r="F241" s="33" t="s">
        <v>1826</v>
      </c>
      <c r="G241" s="9" t="s">
        <v>1827</v>
      </c>
      <c r="H241" s="33" t="s">
        <v>1826</v>
      </c>
      <c r="I241" s="33" t="s">
        <v>1828</v>
      </c>
      <c r="J241" s="5" t="s">
        <v>1138</v>
      </c>
      <c r="K241" s="6" t="s">
        <v>886</v>
      </c>
      <c r="L241" s="6" t="s">
        <v>541</v>
      </c>
      <c r="M241" s="49" t="s">
        <v>469</v>
      </c>
      <c r="N241" s="6" t="s">
        <v>1663</v>
      </c>
      <c r="P241" s="6"/>
      <c r="Q241" s="5"/>
      <c r="R241" s="5"/>
      <c r="S241" s="5"/>
    </row>
    <row r="242" spans="2:19" ht="16.5" customHeight="1" x14ac:dyDescent="0.2">
      <c r="B242" s="6">
        <v>331</v>
      </c>
      <c r="C242" s="6">
        <v>131</v>
      </c>
      <c r="D242" s="33" t="s">
        <v>1794</v>
      </c>
      <c r="E242" s="6" t="s">
        <v>915</v>
      </c>
      <c r="F242" s="33" t="s">
        <v>1898</v>
      </c>
      <c r="G242" s="9" t="s">
        <v>1972</v>
      </c>
      <c r="H242" s="33" t="s">
        <v>1898</v>
      </c>
      <c r="I242" s="33" t="s">
        <v>1899</v>
      </c>
      <c r="J242" s="5" t="s">
        <v>1138</v>
      </c>
      <c r="K242" s="6" t="s">
        <v>886</v>
      </c>
      <c r="L242" s="6" t="s">
        <v>541</v>
      </c>
      <c r="M242" s="49" t="s">
        <v>469</v>
      </c>
      <c r="N242" s="6" t="s">
        <v>1663</v>
      </c>
      <c r="P242" s="6"/>
      <c r="Q242" s="5"/>
      <c r="R242" s="5"/>
      <c r="S242" s="5"/>
    </row>
    <row r="243" spans="2:19" ht="16.5" customHeight="1" x14ac:dyDescent="0.2">
      <c r="B243" s="6">
        <v>334</v>
      </c>
      <c r="C243" s="6">
        <v>134</v>
      </c>
      <c r="D243" s="33" t="s">
        <v>1797</v>
      </c>
      <c r="E243" s="6" t="s">
        <v>915</v>
      </c>
      <c r="F243" s="33" t="s">
        <v>1900</v>
      </c>
      <c r="G243" s="9" t="s">
        <v>1954</v>
      </c>
      <c r="H243" s="33" t="s">
        <v>1900</v>
      </c>
      <c r="I243" s="33" t="s">
        <v>1901</v>
      </c>
      <c r="J243" s="5" t="s">
        <v>1138</v>
      </c>
      <c r="K243" s="6" t="s">
        <v>822</v>
      </c>
      <c r="L243" s="6" t="s">
        <v>541</v>
      </c>
      <c r="M243" s="49" t="s">
        <v>469</v>
      </c>
      <c r="N243" s="6" t="s">
        <v>1663</v>
      </c>
      <c r="P243" s="6"/>
      <c r="Q243" s="5"/>
      <c r="R243" s="5"/>
      <c r="S243" s="5"/>
    </row>
    <row r="244" spans="2:19" ht="16.5" customHeight="1" x14ac:dyDescent="0.2">
      <c r="B244" s="6">
        <v>335</v>
      </c>
      <c r="C244" s="6">
        <v>135</v>
      </c>
      <c r="D244" s="33" t="s">
        <v>1798</v>
      </c>
      <c r="E244" s="6" t="s">
        <v>915</v>
      </c>
      <c r="F244" s="33" t="s">
        <v>1902</v>
      </c>
      <c r="G244" s="9" t="s">
        <v>1952</v>
      </c>
      <c r="H244" s="33" t="s">
        <v>1902</v>
      </c>
      <c r="I244" s="33" t="s">
        <v>1903</v>
      </c>
      <c r="J244" s="5" t="s">
        <v>1138</v>
      </c>
      <c r="K244" s="6" t="s">
        <v>1953</v>
      </c>
      <c r="L244" s="6" t="s">
        <v>514</v>
      </c>
      <c r="M244" s="49" t="s">
        <v>469</v>
      </c>
      <c r="N244" s="6" t="s">
        <v>1663</v>
      </c>
      <c r="P244" s="6"/>
      <c r="Q244" s="5"/>
      <c r="R244" s="5"/>
      <c r="S244" s="5"/>
    </row>
    <row r="245" spans="2:19" ht="16.5" customHeight="1" x14ac:dyDescent="0.2">
      <c r="B245" s="6">
        <v>336</v>
      </c>
      <c r="C245" s="6">
        <v>136</v>
      </c>
      <c r="D245" s="33" t="s">
        <v>1799</v>
      </c>
      <c r="E245" s="6" t="s">
        <v>915</v>
      </c>
      <c r="F245" s="33" t="s">
        <v>1904</v>
      </c>
      <c r="G245" s="9" t="s">
        <v>1955</v>
      </c>
      <c r="H245" s="33" t="s">
        <v>1904</v>
      </c>
      <c r="I245" s="33" t="s">
        <v>1905</v>
      </c>
      <c r="J245" s="5" t="s">
        <v>1138</v>
      </c>
      <c r="K245" s="6" t="s">
        <v>822</v>
      </c>
      <c r="L245" s="6" t="s">
        <v>541</v>
      </c>
      <c r="M245" s="49" t="s">
        <v>469</v>
      </c>
      <c r="N245" s="6" t="s">
        <v>1663</v>
      </c>
      <c r="P245" s="6"/>
      <c r="Q245" s="5"/>
      <c r="R245" s="5"/>
      <c r="S245" s="5"/>
    </row>
    <row r="246" spans="2:19" ht="16.5" customHeight="1" x14ac:dyDescent="0.2">
      <c r="B246" s="6">
        <v>337</v>
      </c>
      <c r="C246" s="6">
        <v>137</v>
      </c>
      <c r="D246" s="33" t="s">
        <v>1906</v>
      </c>
      <c r="E246" s="6" t="s">
        <v>915</v>
      </c>
      <c r="F246" s="33" t="s">
        <v>1931</v>
      </c>
      <c r="G246" s="9" t="s">
        <v>1951</v>
      </c>
      <c r="H246" s="33" t="s">
        <v>1931</v>
      </c>
      <c r="I246" s="33" t="s">
        <v>1932</v>
      </c>
      <c r="J246" s="5" t="s">
        <v>1138</v>
      </c>
      <c r="K246" s="6" t="s">
        <v>1953</v>
      </c>
      <c r="L246" s="6" t="s">
        <v>514</v>
      </c>
      <c r="M246" s="49" t="s">
        <v>469</v>
      </c>
      <c r="N246" s="6" t="s">
        <v>1663</v>
      </c>
      <c r="P246" s="6"/>
      <c r="Q246" s="5"/>
      <c r="R246" s="5"/>
      <c r="S246" s="5"/>
    </row>
    <row r="247" spans="2:19" ht="16.5" customHeight="1" x14ac:dyDescent="0.2">
      <c r="B247" s="6">
        <v>339</v>
      </c>
      <c r="C247" s="6">
        <v>139</v>
      </c>
      <c r="D247" s="33" t="s">
        <v>1912</v>
      </c>
      <c r="E247" s="6" t="s">
        <v>915</v>
      </c>
      <c r="F247" s="33" t="s">
        <v>1943</v>
      </c>
      <c r="G247" s="37" t="s">
        <v>1944</v>
      </c>
      <c r="H247" s="33" t="s">
        <v>1943</v>
      </c>
      <c r="I247" s="33"/>
      <c r="J247" s="5" t="s">
        <v>1138</v>
      </c>
      <c r="K247" s="6" t="s">
        <v>180</v>
      </c>
      <c r="L247" s="6" t="s">
        <v>514</v>
      </c>
      <c r="M247" s="49" t="s">
        <v>469</v>
      </c>
      <c r="N247" s="6" t="s">
        <v>1663</v>
      </c>
      <c r="P247" s="6"/>
      <c r="Q247" s="5"/>
      <c r="R247" s="5"/>
      <c r="S247" s="5"/>
    </row>
    <row r="248" spans="2:19" ht="16.5" customHeight="1" x14ac:dyDescent="0.2">
      <c r="B248" s="6">
        <v>922</v>
      </c>
      <c r="C248" s="6">
        <v>22</v>
      </c>
      <c r="D248" s="33" t="s">
        <v>1915</v>
      </c>
      <c r="E248" s="6" t="s">
        <v>915</v>
      </c>
      <c r="F248" s="33" t="s">
        <v>1945</v>
      </c>
      <c r="G248" s="9" t="s">
        <v>1970</v>
      </c>
      <c r="H248" s="33" t="s">
        <v>1945</v>
      </c>
      <c r="I248" s="33" t="s">
        <v>1947</v>
      </c>
      <c r="J248" s="5" t="s">
        <v>1138</v>
      </c>
      <c r="K248" s="6" t="s">
        <v>1946</v>
      </c>
      <c r="L248" s="6" t="s">
        <v>514</v>
      </c>
      <c r="M248" s="49" t="s">
        <v>469</v>
      </c>
      <c r="N248" s="49" t="s">
        <v>2179</v>
      </c>
      <c r="O248" s="6" t="s">
        <v>2425</v>
      </c>
      <c r="P248" s="6"/>
      <c r="Q248" s="5"/>
      <c r="R248" s="5"/>
      <c r="S248" s="5"/>
    </row>
    <row r="249" spans="2:19" ht="16.5" customHeight="1" x14ac:dyDescent="0.2">
      <c r="B249" s="6">
        <v>342</v>
      </c>
      <c r="C249" s="6">
        <v>142</v>
      </c>
      <c r="D249" s="33" t="s">
        <v>1916</v>
      </c>
      <c r="E249" s="6" t="s">
        <v>915</v>
      </c>
      <c r="F249" s="33" t="s">
        <v>1948</v>
      </c>
      <c r="G249" s="9" t="s">
        <v>2007</v>
      </c>
      <c r="H249" s="33" t="s">
        <v>1948</v>
      </c>
      <c r="I249" s="33" t="s">
        <v>1949</v>
      </c>
      <c r="J249" s="5" t="s">
        <v>1138</v>
      </c>
      <c r="K249" s="6" t="s">
        <v>1950</v>
      </c>
      <c r="L249" s="6" t="s">
        <v>514</v>
      </c>
      <c r="M249" s="49" t="s">
        <v>469</v>
      </c>
      <c r="N249" s="6" t="s">
        <v>1663</v>
      </c>
      <c r="P249" s="6"/>
      <c r="Q249" s="5"/>
      <c r="R249" s="5"/>
      <c r="S249" s="5"/>
    </row>
    <row r="250" spans="2:19" ht="16.5" customHeight="1" x14ac:dyDescent="0.2">
      <c r="B250" s="6">
        <v>343</v>
      </c>
      <c r="C250" s="6">
        <v>143</v>
      </c>
      <c r="D250" s="33" t="s">
        <v>1917</v>
      </c>
      <c r="E250" s="6" t="s">
        <v>915</v>
      </c>
      <c r="F250" s="33" t="s">
        <v>1973</v>
      </c>
      <c r="G250" s="9" t="s">
        <v>2006</v>
      </c>
      <c r="H250" s="33" t="s">
        <v>1973</v>
      </c>
      <c r="I250" s="33" t="s">
        <v>1974</v>
      </c>
      <c r="J250" s="5" t="s">
        <v>1138</v>
      </c>
      <c r="K250" s="6" t="s">
        <v>1975</v>
      </c>
      <c r="L250" s="6" t="s">
        <v>514</v>
      </c>
      <c r="M250" s="49" t="s">
        <v>469</v>
      </c>
      <c r="N250" s="6" t="s">
        <v>1663</v>
      </c>
      <c r="P250" s="6"/>
      <c r="Q250" s="5"/>
      <c r="R250" s="5"/>
      <c r="S250" s="5"/>
    </row>
    <row r="251" spans="2:19" ht="16.5" customHeight="1" x14ac:dyDescent="0.2">
      <c r="B251" s="6">
        <v>346</v>
      </c>
      <c r="C251" s="6">
        <v>146</v>
      </c>
      <c r="D251" s="33" t="s">
        <v>1920</v>
      </c>
      <c r="E251" s="6" t="s">
        <v>915</v>
      </c>
      <c r="F251" s="33" t="s">
        <v>1986</v>
      </c>
      <c r="G251" s="9" t="s">
        <v>1998</v>
      </c>
      <c r="H251" s="33" t="s">
        <v>1986</v>
      </c>
      <c r="I251" s="33" t="s">
        <v>1987</v>
      </c>
      <c r="J251" s="5" t="s">
        <v>1138</v>
      </c>
      <c r="K251" s="6" t="s">
        <v>1989</v>
      </c>
      <c r="L251" s="6" t="s">
        <v>514</v>
      </c>
      <c r="M251" s="49" t="s">
        <v>469</v>
      </c>
      <c r="N251" s="6" t="s">
        <v>1663</v>
      </c>
      <c r="P251" s="6"/>
      <c r="Q251" s="5"/>
      <c r="R251" s="5"/>
      <c r="S251" s="5"/>
    </row>
    <row r="252" spans="2:19" ht="16.5" customHeight="1" x14ac:dyDescent="0.2">
      <c r="B252" s="6">
        <v>338</v>
      </c>
      <c r="C252" s="6">
        <v>138</v>
      </c>
      <c r="D252" s="33" t="s">
        <v>1911</v>
      </c>
      <c r="E252" s="6" t="s">
        <v>915</v>
      </c>
      <c r="F252" s="33" t="s">
        <v>2027</v>
      </c>
      <c r="G252" s="37" t="s">
        <v>2029</v>
      </c>
      <c r="H252" s="33" t="s">
        <v>2027</v>
      </c>
      <c r="I252" s="33" t="s">
        <v>2028</v>
      </c>
      <c r="J252" s="5" t="s">
        <v>1138</v>
      </c>
      <c r="K252" s="6" t="s">
        <v>218</v>
      </c>
      <c r="L252" s="6" t="s">
        <v>514</v>
      </c>
      <c r="M252" s="49" t="s">
        <v>469</v>
      </c>
      <c r="N252" s="6" t="s">
        <v>1663</v>
      </c>
      <c r="P252" s="6"/>
      <c r="Q252" s="5"/>
      <c r="R252" s="5"/>
      <c r="S252" s="5"/>
    </row>
    <row r="253" spans="2:19" ht="16.5" customHeight="1" x14ac:dyDescent="0.2">
      <c r="B253" s="6">
        <v>367</v>
      </c>
      <c r="C253" s="6">
        <v>167</v>
      </c>
      <c r="D253" s="33" t="s">
        <v>2212</v>
      </c>
      <c r="E253" s="6" t="s">
        <v>915</v>
      </c>
      <c r="F253" s="33" t="s">
        <v>2175</v>
      </c>
      <c r="G253" s="37" t="s">
        <v>2636</v>
      </c>
      <c r="H253" s="33" t="s">
        <v>2175</v>
      </c>
      <c r="I253" s="33"/>
      <c r="J253" s="5" t="s">
        <v>1138</v>
      </c>
      <c r="K253" s="6" t="s">
        <v>41</v>
      </c>
      <c r="L253" s="6" t="s">
        <v>2176</v>
      </c>
      <c r="M253" s="49" t="s">
        <v>469</v>
      </c>
      <c r="N253" s="6" t="s">
        <v>1663</v>
      </c>
      <c r="P253" s="6"/>
      <c r="Q253" s="5"/>
      <c r="R253" s="5"/>
      <c r="S253" s="5"/>
    </row>
    <row r="254" spans="2:19" ht="16.5" customHeight="1" x14ac:dyDescent="0.2">
      <c r="B254" s="6">
        <v>368</v>
      </c>
      <c r="C254" s="6">
        <v>168</v>
      </c>
      <c r="D254" s="33" t="s">
        <v>2213</v>
      </c>
      <c r="E254" s="6" t="s">
        <v>915</v>
      </c>
      <c r="F254" s="33" t="s">
        <v>2172</v>
      </c>
      <c r="G254" s="9" t="s">
        <v>2174</v>
      </c>
      <c r="H254" s="33" t="s">
        <v>2172</v>
      </c>
      <c r="I254" s="33" t="s">
        <v>2173</v>
      </c>
      <c r="J254" s="5" t="s">
        <v>1138</v>
      </c>
      <c r="K254" s="5" t="s">
        <v>28</v>
      </c>
      <c r="L254" s="6" t="s">
        <v>2177</v>
      </c>
      <c r="M254" s="49" t="s">
        <v>469</v>
      </c>
      <c r="N254" s="6" t="s">
        <v>1663</v>
      </c>
      <c r="P254" s="6"/>
      <c r="Q254" s="5"/>
      <c r="R254" s="5"/>
      <c r="S254" s="5"/>
    </row>
    <row r="255" spans="2:19" ht="16.5" customHeight="1" x14ac:dyDescent="0.2">
      <c r="B255" s="6">
        <v>369</v>
      </c>
      <c r="C255" s="6">
        <v>169</v>
      </c>
      <c r="D255" s="33" t="s">
        <v>2214</v>
      </c>
      <c r="E255" s="6" t="s">
        <v>915</v>
      </c>
      <c r="F255" s="33" t="s">
        <v>2180</v>
      </c>
      <c r="G255" s="9" t="s">
        <v>2181</v>
      </c>
      <c r="H255" s="33" t="s">
        <v>2180</v>
      </c>
      <c r="I255" s="33" t="s">
        <v>2182</v>
      </c>
      <c r="J255" s="5" t="s">
        <v>1138</v>
      </c>
      <c r="K255" s="6" t="s">
        <v>2185</v>
      </c>
      <c r="M255" s="49" t="s">
        <v>469</v>
      </c>
      <c r="N255" s="6" t="s">
        <v>1663</v>
      </c>
      <c r="P255" s="6"/>
      <c r="Q255" s="5"/>
      <c r="R255" s="5"/>
      <c r="S255" s="5"/>
    </row>
    <row r="256" spans="2:19" ht="16.5" customHeight="1" x14ac:dyDescent="0.2">
      <c r="B256" s="6">
        <v>375</v>
      </c>
      <c r="C256" s="6">
        <v>175</v>
      </c>
      <c r="D256" s="33" t="s">
        <v>2220</v>
      </c>
      <c r="E256" s="6" t="s">
        <v>915</v>
      </c>
      <c r="F256" s="33" t="s">
        <v>2183</v>
      </c>
      <c r="G256" s="9" t="s">
        <v>2638</v>
      </c>
      <c r="H256" s="33" t="s">
        <v>2183</v>
      </c>
      <c r="I256" s="33" t="s">
        <v>2184</v>
      </c>
      <c r="J256" s="5" t="s">
        <v>1138</v>
      </c>
      <c r="K256" s="6" t="s">
        <v>180</v>
      </c>
      <c r="L256" s="6" t="s">
        <v>514</v>
      </c>
      <c r="M256" s="49" t="s">
        <v>469</v>
      </c>
      <c r="N256" s="6" t="s">
        <v>1663</v>
      </c>
      <c r="P256" s="6"/>
      <c r="Q256" s="5"/>
      <c r="R256" s="5"/>
      <c r="S256" s="5"/>
    </row>
    <row r="257" spans="2:19" ht="16.5" customHeight="1" x14ac:dyDescent="0.2">
      <c r="B257" s="6">
        <v>376</v>
      </c>
      <c r="C257" s="6">
        <v>176</v>
      </c>
      <c r="D257" s="33" t="s">
        <v>2221</v>
      </c>
      <c r="E257" s="6" t="s">
        <v>915</v>
      </c>
      <c r="F257" s="33" t="s">
        <v>2186</v>
      </c>
      <c r="G257" s="9" t="s">
        <v>2639</v>
      </c>
      <c r="H257" s="33" t="s">
        <v>2186</v>
      </c>
      <c r="I257" s="33" t="s">
        <v>2187</v>
      </c>
      <c r="J257" s="5" t="s">
        <v>1138</v>
      </c>
      <c r="K257" s="6" t="s">
        <v>180</v>
      </c>
      <c r="L257" s="6" t="s">
        <v>514</v>
      </c>
      <c r="M257" s="49" t="s">
        <v>469</v>
      </c>
      <c r="N257" s="6" t="s">
        <v>1663</v>
      </c>
      <c r="P257" s="6"/>
      <c r="Q257" s="5"/>
      <c r="R257" s="5"/>
      <c r="S257" s="5"/>
    </row>
    <row r="258" spans="2:19" ht="16.5" customHeight="1" x14ac:dyDescent="0.2">
      <c r="B258" s="6">
        <v>377</v>
      </c>
      <c r="C258" s="6">
        <v>177</v>
      </c>
      <c r="D258" s="33" t="s">
        <v>2222</v>
      </c>
      <c r="E258" s="6" t="s">
        <v>915</v>
      </c>
      <c r="F258" s="33" t="s">
        <v>2193</v>
      </c>
      <c r="G258" s="9" t="s">
        <v>2640</v>
      </c>
      <c r="H258" s="33" t="s">
        <v>2194</v>
      </c>
      <c r="I258" s="33" t="s">
        <v>2192</v>
      </c>
      <c r="J258" s="5" t="s">
        <v>1138</v>
      </c>
      <c r="K258" s="6" t="s">
        <v>53</v>
      </c>
      <c r="L258" s="6" t="s">
        <v>514</v>
      </c>
      <c r="M258" s="49" t="s">
        <v>469</v>
      </c>
      <c r="N258" s="6" t="s">
        <v>1663</v>
      </c>
      <c r="P258" s="6"/>
      <c r="Q258" s="5"/>
      <c r="R258" s="5"/>
      <c r="S258" s="5"/>
    </row>
    <row r="259" spans="2:19" ht="16.5" customHeight="1" x14ac:dyDescent="0.2">
      <c r="B259" s="6">
        <v>378</v>
      </c>
      <c r="C259" s="6">
        <v>178</v>
      </c>
      <c r="D259" s="33" t="s">
        <v>2223</v>
      </c>
      <c r="E259" s="6" t="s">
        <v>915</v>
      </c>
      <c r="F259" s="33" t="s">
        <v>2195</v>
      </c>
      <c r="G259" s="9" t="s">
        <v>2641</v>
      </c>
      <c r="H259" s="33" t="s">
        <v>2195</v>
      </c>
      <c r="I259" s="33" t="s">
        <v>2196</v>
      </c>
      <c r="J259" s="5" t="s">
        <v>1138</v>
      </c>
      <c r="K259" s="6" t="s">
        <v>53</v>
      </c>
      <c r="L259" s="6" t="s">
        <v>514</v>
      </c>
      <c r="M259" s="49" t="s">
        <v>469</v>
      </c>
      <c r="N259" s="6" t="s">
        <v>1663</v>
      </c>
      <c r="P259" s="6"/>
      <c r="Q259" s="5"/>
      <c r="R259" s="5"/>
      <c r="S259" s="5"/>
    </row>
    <row r="260" spans="2:19" ht="16.5" customHeight="1" x14ac:dyDescent="0.2">
      <c r="B260" s="6">
        <v>379</v>
      </c>
      <c r="C260" s="6">
        <v>179</v>
      </c>
      <c r="D260" s="33" t="s">
        <v>2224</v>
      </c>
      <c r="E260" s="6" t="s">
        <v>915</v>
      </c>
      <c r="F260" s="33" t="s">
        <v>2197</v>
      </c>
      <c r="G260" s="9" t="s">
        <v>2198</v>
      </c>
      <c r="H260" s="33" t="s">
        <v>2197</v>
      </c>
      <c r="I260" s="33" t="s">
        <v>2199</v>
      </c>
      <c r="J260" s="5" t="s">
        <v>1138</v>
      </c>
      <c r="K260" s="6" t="s">
        <v>2200</v>
      </c>
      <c r="L260" s="6" t="s">
        <v>514</v>
      </c>
      <c r="M260" s="49" t="s">
        <v>469</v>
      </c>
      <c r="N260" s="6" t="s">
        <v>1663</v>
      </c>
      <c r="O260" s="6" t="s">
        <v>2515</v>
      </c>
      <c r="P260" s="6"/>
      <c r="Q260" s="5"/>
      <c r="R260" s="5"/>
      <c r="S260" s="5"/>
    </row>
    <row r="261" spans="2:19" ht="16.5" customHeight="1" x14ac:dyDescent="0.2">
      <c r="B261" s="6">
        <v>384</v>
      </c>
      <c r="C261" s="6">
        <v>184</v>
      </c>
      <c r="D261" s="33" t="s">
        <v>2230</v>
      </c>
      <c r="E261" s="6" t="s">
        <v>915</v>
      </c>
      <c r="F261" s="33" t="s">
        <v>2255</v>
      </c>
      <c r="G261" s="37" t="s">
        <v>2298</v>
      </c>
      <c r="H261" s="33" t="s">
        <v>2255</v>
      </c>
      <c r="I261" s="33" t="s">
        <v>2256</v>
      </c>
      <c r="J261" s="5" t="s">
        <v>1138</v>
      </c>
      <c r="K261" s="6" t="s">
        <v>917</v>
      </c>
      <c r="L261" s="6" t="s">
        <v>514</v>
      </c>
      <c r="M261" s="49" t="s">
        <v>469</v>
      </c>
      <c r="N261" s="49" t="s">
        <v>1663</v>
      </c>
      <c r="O261" s="6" t="s">
        <v>2515</v>
      </c>
      <c r="P261" s="6"/>
      <c r="Q261" s="5" t="s">
        <v>977</v>
      </c>
      <c r="R261" s="5"/>
      <c r="S261" s="5"/>
    </row>
    <row r="262" spans="2:19" ht="16.5" customHeight="1" x14ac:dyDescent="0.2">
      <c r="B262" s="6">
        <v>385</v>
      </c>
      <c r="C262" s="6">
        <v>185</v>
      </c>
      <c r="D262" s="33" t="s">
        <v>2233</v>
      </c>
      <c r="E262" s="6" t="s">
        <v>915</v>
      </c>
      <c r="F262" s="33" t="s">
        <v>2257</v>
      </c>
      <c r="G262" s="9" t="s">
        <v>2300</v>
      </c>
      <c r="H262" s="33" t="s">
        <v>2257</v>
      </c>
      <c r="I262" s="33" t="s">
        <v>2258</v>
      </c>
      <c r="J262" s="5" t="s">
        <v>1138</v>
      </c>
      <c r="K262" s="6" t="s">
        <v>2476</v>
      </c>
      <c r="L262" s="6" t="s">
        <v>514</v>
      </c>
      <c r="M262" s="49" t="s">
        <v>469</v>
      </c>
      <c r="N262" s="49" t="s">
        <v>1663</v>
      </c>
      <c r="P262" s="6"/>
      <c r="Q262" s="5" t="s">
        <v>977</v>
      </c>
      <c r="R262" s="5"/>
      <c r="S262" s="5"/>
    </row>
    <row r="263" spans="2:19" ht="16.5" customHeight="1" x14ac:dyDescent="0.2">
      <c r="B263" s="6">
        <v>386</v>
      </c>
      <c r="C263" s="6">
        <v>186</v>
      </c>
      <c r="D263" s="33" t="s">
        <v>2234</v>
      </c>
      <c r="E263" s="6" t="s">
        <v>915</v>
      </c>
      <c r="F263" s="33" t="s">
        <v>2259</v>
      </c>
      <c r="G263" s="9" t="s">
        <v>2299</v>
      </c>
      <c r="H263" s="33" t="s">
        <v>2259</v>
      </c>
      <c r="I263" s="33" t="s">
        <v>2260</v>
      </c>
      <c r="J263" s="5" t="s">
        <v>1138</v>
      </c>
      <c r="K263" s="6" t="s">
        <v>917</v>
      </c>
      <c r="L263" s="6" t="s">
        <v>514</v>
      </c>
      <c r="M263" s="49" t="s">
        <v>469</v>
      </c>
      <c r="N263" s="49" t="s">
        <v>1663</v>
      </c>
      <c r="O263" s="6" t="s">
        <v>2515</v>
      </c>
      <c r="P263" s="6"/>
      <c r="Q263" s="5" t="s">
        <v>977</v>
      </c>
      <c r="R263" s="5"/>
      <c r="S263" s="5"/>
    </row>
    <row r="264" spans="2:19" ht="16.5" customHeight="1" x14ac:dyDescent="0.2">
      <c r="B264" s="6">
        <v>388</v>
      </c>
      <c r="C264" s="6">
        <v>188</v>
      </c>
      <c r="D264" s="33" t="s">
        <v>2236</v>
      </c>
      <c r="E264" s="6" t="s">
        <v>915</v>
      </c>
      <c r="F264" s="33" t="s">
        <v>2264</v>
      </c>
      <c r="G264" s="9" t="s">
        <v>2293</v>
      </c>
      <c r="H264" s="33" t="s">
        <v>2264</v>
      </c>
      <c r="I264" s="33" t="s">
        <v>2267</v>
      </c>
      <c r="J264" s="5" t="s">
        <v>1138</v>
      </c>
      <c r="K264" s="6" t="s">
        <v>309</v>
      </c>
      <c r="L264" s="6" t="s">
        <v>514</v>
      </c>
      <c r="M264" s="49" t="s">
        <v>469</v>
      </c>
      <c r="N264" s="49" t="s">
        <v>1663</v>
      </c>
      <c r="P264" s="6"/>
      <c r="Q264" s="5" t="s">
        <v>977</v>
      </c>
      <c r="R264" s="5"/>
      <c r="S264" s="5"/>
    </row>
    <row r="265" spans="2:19" ht="16.5" customHeight="1" x14ac:dyDescent="0.2">
      <c r="B265" s="6">
        <v>387</v>
      </c>
      <c r="C265" s="6">
        <v>187</v>
      </c>
      <c r="D265" s="33" t="s">
        <v>2235</v>
      </c>
      <c r="E265" s="6" t="s">
        <v>915</v>
      </c>
      <c r="F265" s="33" t="s">
        <v>2261</v>
      </c>
      <c r="G265" s="9" t="s">
        <v>2262</v>
      </c>
      <c r="H265" s="33" t="s">
        <v>2261</v>
      </c>
      <c r="I265" s="33" t="s">
        <v>2263</v>
      </c>
      <c r="J265" s="5" t="s">
        <v>1138</v>
      </c>
      <c r="K265" s="6" t="s">
        <v>2262</v>
      </c>
      <c r="L265" s="6" t="s">
        <v>514</v>
      </c>
      <c r="M265" s="49" t="s">
        <v>469</v>
      </c>
      <c r="N265" s="49" t="s">
        <v>1663</v>
      </c>
      <c r="P265" s="6"/>
      <c r="Q265" s="5" t="s">
        <v>977</v>
      </c>
      <c r="R265" s="5"/>
      <c r="S265" s="5"/>
    </row>
    <row r="266" spans="2:19" ht="16.5" customHeight="1" x14ac:dyDescent="0.2">
      <c r="B266" s="6">
        <v>389</v>
      </c>
      <c r="C266" s="6">
        <v>189</v>
      </c>
      <c r="D266" s="33" t="s">
        <v>2237</v>
      </c>
      <c r="E266" s="6" t="s">
        <v>915</v>
      </c>
      <c r="F266" s="33" t="s">
        <v>2265</v>
      </c>
      <c r="G266" s="37" t="s">
        <v>2349</v>
      </c>
      <c r="H266" s="33" t="s">
        <v>2265</v>
      </c>
      <c r="I266" s="33" t="s">
        <v>2266</v>
      </c>
      <c r="J266" s="5" t="s">
        <v>1138</v>
      </c>
      <c r="K266" s="6" t="s">
        <v>309</v>
      </c>
      <c r="L266" s="6" t="s">
        <v>514</v>
      </c>
      <c r="M266" s="49" t="s">
        <v>469</v>
      </c>
      <c r="N266" s="49" t="s">
        <v>1663</v>
      </c>
      <c r="O266" s="6" t="s">
        <v>1970</v>
      </c>
      <c r="P266" s="6"/>
      <c r="Q266" s="5" t="s">
        <v>977</v>
      </c>
      <c r="R266" s="5"/>
      <c r="S266" s="5"/>
    </row>
    <row r="267" spans="2:19" ht="16.5" customHeight="1" x14ac:dyDescent="0.2">
      <c r="B267" s="6">
        <v>390</v>
      </c>
      <c r="C267" s="6">
        <v>190</v>
      </c>
      <c r="D267" s="33" t="s">
        <v>2238</v>
      </c>
      <c r="E267" s="6" t="s">
        <v>915</v>
      </c>
      <c r="F267" s="33" t="s">
        <v>2268</v>
      </c>
      <c r="G267" s="9" t="s">
        <v>2348</v>
      </c>
      <c r="H267" s="33" t="s">
        <v>2268</v>
      </c>
      <c r="I267" s="33" t="s">
        <v>2269</v>
      </c>
      <c r="J267" s="5" t="s">
        <v>1138</v>
      </c>
      <c r="K267" s="6" t="s">
        <v>309</v>
      </c>
      <c r="L267" s="6" t="s">
        <v>514</v>
      </c>
      <c r="M267" s="49" t="s">
        <v>469</v>
      </c>
      <c r="N267" s="49" t="s">
        <v>1663</v>
      </c>
      <c r="P267" s="6"/>
      <c r="Q267" s="5" t="s">
        <v>977</v>
      </c>
      <c r="R267" s="5"/>
      <c r="S267" s="5"/>
    </row>
    <row r="268" spans="2:19" ht="16.5" customHeight="1" x14ac:dyDescent="0.2">
      <c r="B268" s="6">
        <v>391</v>
      </c>
      <c r="C268" s="6">
        <v>191</v>
      </c>
      <c r="D268" s="33" t="s">
        <v>2239</v>
      </c>
      <c r="E268" s="6" t="s">
        <v>915</v>
      </c>
      <c r="F268" s="33" t="s">
        <v>2270</v>
      </c>
      <c r="G268" s="37" t="s">
        <v>2291</v>
      </c>
      <c r="H268" s="33" t="s">
        <v>2270</v>
      </c>
      <c r="I268" s="33" t="s">
        <v>2271</v>
      </c>
      <c r="J268" s="5" t="s">
        <v>1138</v>
      </c>
      <c r="K268" s="33" t="s">
        <v>2292</v>
      </c>
      <c r="L268" s="6" t="s">
        <v>514</v>
      </c>
      <c r="M268" s="49" t="s">
        <v>469</v>
      </c>
      <c r="N268" s="49" t="s">
        <v>1663</v>
      </c>
      <c r="P268" s="6"/>
      <c r="Q268" s="5" t="s">
        <v>977</v>
      </c>
      <c r="R268" s="5"/>
      <c r="S268" s="5"/>
    </row>
    <row r="269" spans="2:19" ht="16.5" customHeight="1" x14ac:dyDescent="0.2">
      <c r="B269" s="6">
        <v>392</v>
      </c>
      <c r="C269" s="6">
        <v>192</v>
      </c>
      <c r="D269" s="33" t="s">
        <v>2240</v>
      </c>
      <c r="E269" s="6" t="s">
        <v>915</v>
      </c>
      <c r="F269" s="33" t="s">
        <v>2272</v>
      </c>
      <c r="G269" s="9" t="s">
        <v>2294</v>
      </c>
      <c r="H269" s="33" t="s">
        <v>2272</v>
      </c>
      <c r="I269" s="33" t="s">
        <v>2274</v>
      </c>
      <c r="J269" s="5" t="s">
        <v>1138</v>
      </c>
      <c r="K269" s="33" t="s">
        <v>2200</v>
      </c>
      <c r="L269" s="6" t="s">
        <v>514</v>
      </c>
      <c r="M269" s="49" t="s">
        <v>469</v>
      </c>
      <c r="N269" s="49" t="s">
        <v>1663</v>
      </c>
      <c r="O269" s="6" t="s">
        <v>2515</v>
      </c>
      <c r="P269" s="6"/>
      <c r="Q269" s="5" t="s">
        <v>977</v>
      </c>
      <c r="R269" s="5"/>
      <c r="S269" s="5"/>
    </row>
    <row r="270" spans="2:19" ht="16.5" customHeight="1" x14ac:dyDescent="0.2">
      <c r="B270" s="6">
        <v>393</v>
      </c>
      <c r="C270" s="6">
        <v>193</v>
      </c>
      <c r="D270" s="33" t="s">
        <v>2241</v>
      </c>
      <c r="E270" s="6" t="s">
        <v>915</v>
      </c>
      <c r="F270" s="33" t="s">
        <v>2273</v>
      </c>
      <c r="G270" s="37" t="s">
        <v>2296</v>
      </c>
      <c r="H270" s="33" t="s">
        <v>2273</v>
      </c>
      <c r="I270" s="33" t="s">
        <v>2277</v>
      </c>
      <c r="J270" s="5" t="s">
        <v>1138</v>
      </c>
      <c r="K270" s="33" t="s">
        <v>180</v>
      </c>
      <c r="L270" s="6" t="s">
        <v>514</v>
      </c>
      <c r="M270" s="49" t="s">
        <v>469</v>
      </c>
      <c r="N270" s="49" t="s">
        <v>1663</v>
      </c>
      <c r="P270" s="6"/>
      <c r="Q270" s="5" t="s">
        <v>977</v>
      </c>
      <c r="R270" s="5"/>
      <c r="S270" s="5"/>
    </row>
    <row r="271" spans="2:19" ht="16.5" customHeight="1" x14ac:dyDescent="0.2">
      <c r="B271" s="6">
        <v>394</v>
      </c>
      <c r="C271" s="6">
        <v>194</v>
      </c>
      <c r="D271" s="33" t="s">
        <v>2242</v>
      </c>
      <c r="E271" s="6" t="s">
        <v>915</v>
      </c>
      <c r="F271" s="33" t="s">
        <v>2275</v>
      </c>
      <c r="G271" s="37" t="s">
        <v>2297</v>
      </c>
      <c r="H271" s="33" t="s">
        <v>2275</v>
      </c>
      <c r="I271" s="33" t="s">
        <v>2276</v>
      </c>
      <c r="J271" s="5" t="s">
        <v>1138</v>
      </c>
      <c r="K271" s="33" t="s">
        <v>180</v>
      </c>
      <c r="L271" s="6" t="s">
        <v>514</v>
      </c>
      <c r="M271" s="49" t="s">
        <v>469</v>
      </c>
      <c r="N271" s="49" t="s">
        <v>1663</v>
      </c>
      <c r="P271" s="6"/>
      <c r="Q271" s="5" t="s">
        <v>977</v>
      </c>
      <c r="R271" s="5"/>
      <c r="S271" s="5"/>
    </row>
    <row r="272" spans="2:19" ht="16.5" customHeight="1" x14ac:dyDescent="0.2">
      <c r="B272" s="6">
        <v>395</v>
      </c>
      <c r="C272" s="6">
        <v>195</v>
      </c>
      <c r="D272" s="33" t="s">
        <v>2243</v>
      </c>
      <c r="E272" s="6" t="s">
        <v>915</v>
      </c>
      <c r="F272" s="33" t="s">
        <v>2278</v>
      </c>
      <c r="G272" s="37" t="s">
        <v>2345</v>
      </c>
      <c r="H272" s="33" t="s">
        <v>2278</v>
      </c>
      <c r="I272" s="33" t="s">
        <v>2279</v>
      </c>
      <c r="J272" s="5" t="s">
        <v>1138</v>
      </c>
      <c r="K272" s="33" t="s">
        <v>2200</v>
      </c>
      <c r="L272" s="6" t="s">
        <v>514</v>
      </c>
      <c r="M272" s="49" t="s">
        <v>469</v>
      </c>
      <c r="N272" s="49" t="s">
        <v>1663</v>
      </c>
      <c r="O272" s="6" t="s">
        <v>2515</v>
      </c>
      <c r="P272" s="6"/>
      <c r="Q272" s="5" t="s">
        <v>977</v>
      </c>
      <c r="R272" s="5"/>
      <c r="S272" s="5"/>
    </row>
    <row r="273" spans="2:19" ht="16.5" customHeight="1" x14ac:dyDescent="0.2">
      <c r="B273" s="6">
        <v>396</v>
      </c>
      <c r="C273" s="6">
        <v>196</v>
      </c>
      <c r="D273" s="33" t="s">
        <v>2244</v>
      </c>
      <c r="E273" s="6" t="s">
        <v>915</v>
      </c>
      <c r="F273" s="33" t="s">
        <v>2280</v>
      </c>
      <c r="G273" s="9" t="s">
        <v>2295</v>
      </c>
      <c r="H273" s="33" t="s">
        <v>2280</v>
      </c>
      <c r="I273" s="33" t="s">
        <v>2281</v>
      </c>
      <c r="J273" s="5" t="s">
        <v>1138</v>
      </c>
      <c r="K273" s="33" t="s">
        <v>2200</v>
      </c>
      <c r="L273" s="6" t="s">
        <v>514</v>
      </c>
      <c r="M273" s="49" t="s">
        <v>469</v>
      </c>
      <c r="N273" s="49" t="s">
        <v>1663</v>
      </c>
      <c r="O273" s="6" t="s">
        <v>2515</v>
      </c>
      <c r="P273" s="6"/>
      <c r="Q273" s="5" t="s">
        <v>977</v>
      </c>
      <c r="R273" s="5"/>
      <c r="S273" s="5"/>
    </row>
    <row r="274" spans="2:19" ht="16.5" customHeight="1" x14ac:dyDescent="0.2">
      <c r="B274" s="6">
        <v>397</v>
      </c>
      <c r="C274" s="6">
        <v>197</v>
      </c>
      <c r="D274" s="33" t="s">
        <v>2245</v>
      </c>
      <c r="E274" s="6" t="s">
        <v>915</v>
      </c>
      <c r="F274" s="33" t="s">
        <v>2282</v>
      </c>
      <c r="G274" s="37" t="s">
        <v>2341</v>
      </c>
      <c r="H274" s="33" t="s">
        <v>2282</v>
      </c>
      <c r="I274" s="33" t="s">
        <v>2283</v>
      </c>
      <c r="J274" s="5" t="s">
        <v>1138</v>
      </c>
      <c r="K274" s="33" t="s">
        <v>2200</v>
      </c>
      <c r="L274" s="6" t="s">
        <v>514</v>
      </c>
      <c r="M274" s="49" t="s">
        <v>469</v>
      </c>
      <c r="N274" s="49" t="s">
        <v>1663</v>
      </c>
      <c r="O274" s="6" t="s">
        <v>2515</v>
      </c>
      <c r="P274" s="6"/>
      <c r="Q274" s="5" t="s">
        <v>977</v>
      </c>
      <c r="R274" s="5"/>
      <c r="S274" s="5"/>
    </row>
    <row r="275" spans="2:19" ht="16.5" customHeight="1" x14ac:dyDescent="0.2">
      <c r="B275" s="6">
        <v>398</v>
      </c>
      <c r="C275" s="6">
        <v>198</v>
      </c>
      <c r="D275" s="33" t="s">
        <v>2246</v>
      </c>
      <c r="E275" s="6" t="s">
        <v>915</v>
      </c>
      <c r="F275" s="33" t="s">
        <v>2284</v>
      </c>
      <c r="G275" s="37" t="s">
        <v>2342</v>
      </c>
      <c r="H275" s="33" t="s">
        <v>2284</v>
      </c>
      <c r="I275" s="33" t="s">
        <v>2285</v>
      </c>
      <c r="J275" s="5" t="s">
        <v>1138</v>
      </c>
      <c r="K275" s="33" t="s">
        <v>2200</v>
      </c>
      <c r="L275" s="6" t="s">
        <v>514</v>
      </c>
      <c r="M275" s="49" t="s">
        <v>469</v>
      </c>
      <c r="N275" s="49" t="s">
        <v>1663</v>
      </c>
      <c r="O275" s="6" t="s">
        <v>2515</v>
      </c>
      <c r="P275" s="6"/>
      <c r="Q275" s="5" t="s">
        <v>977</v>
      </c>
      <c r="R275" s="5"/>
      <c r="S275" s="5"/>
    </row>
    <row r="276" spans="2:19" ht="16.5" customHeight="1" x14ac:dyDescent="0.2">
      <c r="B276" s="6">
        <v>399</v>
      </c>
      <c r="C276" s="6">
        <v>199</v>
      </c>
      <c r="D276" s="33" t="s">
        <v>2247</v>
      </c>
      <c r="E276" s="6" t="s">
        <v>915</v>
      </c>
      <c r="F276" s="33" t="s">
        <v>2286</v>
      </c>
      <c r="G276" s="37" t="s">
        <v>2343</v>
      </c>
      <c r="H276" s="33" t="s">
        <v>2286</v>
      </c>
      <c r="I276" s="33" t="s">
        <v>2287</v>
      </c>
      <c r="J276" s="5" t="s">
        <v>1138</v>
      </c>
      <c r="K276" s="6" t="s">
        <v>309</v>
      </c>
      <c r="L276" s="6" t="s">
        <v>514</v>
      </c>
      <c r="M276" s="49" t="s">
        <v>469</v>
      </c>
      <c r="N276" s="49" t="s">
        <v>1663</v>
      </c>
      <c r="P276" s="6"/>
      <c r="Q276" s="5" t="s">
        <v>977</v>
      </c>
      <c r="R276" s="5"/>
      <c r="S276" s="5"/>
    </row>
    <row r="277" spans="2:19" ht="16.5" customHeight="1" x14ac:dyDescent="0.2">
      <c r="B277" s="6">
        <v>400</v>
      </c>
      <c r="C277" s="6">
        <v>200</v>
      </c>
      <c r="D277" s="33" t="s">
        <v>2248</v>
      </c>
      <c r="E277" s="6" t="s">
        <v>915</v>
      </c>
      <c r="F277" s="33" t="s">
        <v>2288</v>
      </c>
      <c r="G277" s="37" t="s">
        <v>2344</v>
      </c>
      <c r="H277" s="33" t="s">
        <v>2288</v>
      </c>
      <c r="I277" s="33" t="s">
        <v>2290</v>
      </c>
      <c r="J277" s="5" t="s">
        <v>1138</v>
      </c>
      <c r="K277" s="33" t="s">
        <v>886</v>
      </c>
      <c r="L277" s="6" t="s">
        <v>2307</v>
      </c>
      <c r="M277" s="49" t="s">
        <v>469</v>
      </c>
      <c r="N277" s="49" t="s">
        <v>1663</v>
      </c>
      <c r="P277" s="6"/>
      <c r="Q277" s="5" t="s">
        <v>977</v>
      </c>
      <c r="R277" s="5"/>
      <c r="S277" s="5"/>
    </row>
    <row r="278" spans="2:19" ht="16.5" customHeight="1" x14ac:dyDescent="0.2">
      <c r="B278" s="6">
        <v>401</v>
      </c>
      <c r="C278" s="6">
        <v>201</v>
      </c>
      <c r="D278" s="33" t="s">
        <v>2249</v>
      </c>
      <c r="E278" s="6" t="s">
        <v>915</v>
      </c>
      <c r="F278" s="33" t="s">
        <v>2301</v>
      </c>
      <c r="G278" s="37" t="s">
        <v>2346</v>
      </c>
      <c r="H278" s="33" t="s">
        <v>2301</v>
      </c>
      <c r="I278" s="33" t="s">
        <v>2302</v>
      </c>
      <c r="J278" s="5" t="s">
        <v>1138</v>
      </c>
      <c r="K278" s="6" t="s">
        <v>886</v>
      </c>
      <c r="L278" s="6" t="s">
        <v>2307</v>
      </c>
      <c r="M278" s="49" t="s">
        <v>469</v>
      </c>
      <c r="N278" s="49" t="s">
        <v>1663</v>
      </c>
      <c r="P278" s="6"/>
      <c r="Q278" s="5"/>
      <c r="R278" s="5"/>
      <c r="S278" s="5"/>
    </row>
    <row r="279" spans="2:19" ht="16.5" customHeight="1" x14ac:dyDescent="0.2">
      <c r="B279" s="6">
        <v>402</v>
      </c>
      <c r="C279" s="6">
        <v>202</v>
      </c>
      <c r="D279" s="33" t="s">
        <v>2250</v>
      </c>
      <c r="E279" s="6" t="s">
        <v>915</v>
      </c>
      <c r="F279" s="33" t="s">
        <v>2303</v>
      </c>
      <c r="G279" s="37" t="s">
        <v>2347</v>
      </c>
      <c r="H279" s="33" t="s">
        <v>2303</v>
      </c>
      <c r="I279" s="33" t="s">
        <v>2305</v>
      </c>
      <c r="J279" s="5" t="s">
        <v>1138</v>
      </c>
      <c r="K279" s="6" t="s">
        <v>327</v>
      </c>
      <c r="L279" s="6" t="s">
        <v>2307</v>
      </c>
      <c r="M279" s="49" t="s">
        <v>469</v>
      </c>
      <c r="N279" s="49" t="s">
        <v>1663</v>
      </c>
      <c r="P279" s="6"/>
      <c r="Q279" s="5"/>
      <c r="R279" s="5"/>
      <c r="S279" s="5"/>
    </row>
    <row r="280" spans="2:19" ht="16.5" customHeight="1" x14ac:dyDescent="0.2">
      <c r="B280" s="6">
        <v>403</v>
      </c>
      <c r="C280" s="6">
        <v>203</v>
      </c>
      <c r="D280" s="33" t="s">
        <v>2251</v>
      </c>
      <c r="E280" s="6" t="s">
        <v>915</v>
      </c>
      <c r="F280" s="33" t="s">
        <v>2304</v>
      </c>
      <c r="G280" s="37" t="s">
        <v>2340</v>
      </c>
      <c r="H280" s="33" t="s">
        <v>2304</v>
      </c>
      <c r="I280" s="33" t="s">
        <v>2306</v>
      </c>
      <c r="J280" s="5" t="s">
        <v>1138</v>
      </c>
      <c r="K280" s="6" t="s">
        <v>309</v>
      </c>
      <c r="L280" s="6" t="s">
        <v>2307</v>
      </c>
      <c r="M280" s="49" t="s">
        <v>469</v>
      </c>
      <c r="N280" s="49" t="s">
        <v>1663</v>
      </c>
      <c r="P280" s="6"/>
      <c r="Q280" s="5"/>
      <c r="R280" s="5"/>
      <c r="S280" s="5"/>
    </row>
    <row r="281" spans="2:19" ht="16.5" customHeight="1" x14ac:dyDescent="0.2">
      <c r="B281" s="6">
        <v>364</v>
      </c>
      <c r="C281" s="6">
        <v>164</v>
      </c>
      <c r="D281" s="33" t="s">
        <v>2209</v>
      </c>
      <c r="E281" s="6" t="s">
        <v>915</v>
      </c>
      <c r="F281" s="33" t="s">
        <v>2018</v>
      </c>
      <c r="G281" s="9" t="s">
        <v>2637</v>
      </c>
      <c r="H281" s="33" t="s">
        <v>2018</v>
      </c>
      <c r="I281" s="33" t="s">
        <v>2021</v>
      </c>
      <c r="J281" s="5" t="s">
        <v>2022</v>
      </c>
      <c r="K281" s="6" t="s">
        <v>2019</v>
      </c>
      <c r="L281" s="6" t="s">
        <v>2020</v>
      </c>
      <c r="M281" s="49" t="s">
        <v>469</v>
      </c>
      <c r="N281" s="6" t="s">
        <v>1663</v>
      </c>
      <c r="O281" s="6" t="s">
        <v>2515</v>
      </c>
      <c r="P281" s="6"/>
      <c r="Q281" s="5"/>
      <c r="R281" s="5"/>
      <c r="S281" s="5"/>
    </row>
    <row r="282" spans="2:19" ht="16.5" customHeight="1" x14ac:dyDescent="0.2">
      <c r="B282" s="6">
        <v>365</v>
      </c>
      <c r="C282" s="6">
        <v>165</v>
      </c>
      <c r="D282" s="33" t="s">
        <v>2210</v>
      </c>
      <c r="E282" s="6" t="s">
        <v>915</v>
      </c>
      <c r="F282" s="33" t="s">
        <v>2023</v>
      </c>
      <c r="G282" s="9" t="s">
        <v>2108</v>
      </c>
      <c r="H282" s="33" t="s">
        <v>2023</v>
      </c>
      <c r="I282" s="33" t="s">
        <v>2024</v>
      </c>
      <c r="J282" s="5" t="s">
        <v>1138</v>
      </c>
      <c r="K282" s="6" t="s">
        <v>180</v>
      </c>
      <c r="L282" s="6" t="s">
        <v>514</v>
      </c>
      <c r="M282" s="49" t="s">
        <v>469</v>
      </c>
      <c r="N282" s="6" t="s">
        <v>1663</v>
      </c>
      <c r="P282" s="6"/>
      <c r="Q282" s="5"/>
      <c r="R282" s="5"/>
      <c r="S282" s="5"/>
    </row>
    <row r="283" spans="2:19" ht="16.5" customHeight="1" x14ac:dyDescent="0.2">
      <c r="B283" s="6">
        <v>366</v>
      </c>
      <c r="C283" s="6">
        <v>166</v>
      </c>
      <c r="D283" s="33" t="s">
        <v>2211</v>
      </c>
      <c r="E283" s="6" t="s">
        <v>915</v>
      </c>
      <c r="F283" s="33" t="s">
        <v>2025</v>
      </c>
      <c r="G283" s="9" t="s">
        <v>2108</v>
      </c>
      <c r="H283" s="33" t="s">
        <v>2025</v>
      </c>
      <c r="I283" s="33" t="s">
        <v>2026</v>
      </c>
      <c r="J283" s="5" t="s">
        <v>1138</v>
      </c>
      <c r="K283" s="6" t="s">
        <v>184</v>
      </c>
      <c r="L283" s="6" t="s">
        <v>514</v>
      </c>
      <c r="M283" s="49" t="s">
        <v>469</v>
      </c>
      <c r="N283" s="6" t="s">
        <v>1663</v>
      </c>
      <c r="P283" s="6"/>
      <c r="Q283" s="5"/>
      <c r="R283" s="5"/>
      <c r="S283" s="5"/>
    </row>
    <row r="284" spans="2:19" ht="16.5" customHeight="1" x14ac:dyDescent="0.2">
      <c r="B284" s="6">
        <v>465</v>
      </c>
      <c r="C284" s="6">
        <v>265</v>
      </c>
      <c r="D284" s="33" t="s">
        <v>2428</v>
      </c>
      <c r="E284" s="6"/>
      <c r="F284" s="45" t="s">
        <v>2454</v>
      </c>
      <c r="G284" s="9" t="s">
        <v>2453</v>
      </c>
      <c r="H284" s="45" t="s">
        <v>2454</v>
      </c>
      <c r="I284" s="45" t="s">
        <v>2454</v>
      </c>
      <c r="J284" s="6" t="s">
        <v>1138</v>
      </c>
      <c r="K284" s="6" t="s">
        <v>673</v>
      </c>
      <c r="L284" s="6" t="s">
        <v>514</v>
      </c>
      <c r="M284" s="6" t="s">
        <v>469</v>
      </c>
      <c r="N284" s="49" t="s">
        <v>1663</v>
      </c>
      <c r="O284" s="43"/>
      <c r="P284" s="6"/>
      <c r="Q284" s="5"/>
      <c r="R284" s="5"/>
      <c r="S284" s="5"/>
    </row>
    <row r="285" spans="2:19" ht="16.5" customHeight="1" x14ac:dyDescent="0.2">
      <c r="B285" s="6">
        <v>466</v>
      </c>
      <c r="C285" s="6">
        <v>266</v>
      </c>
      <c r="D285" s="33" t="s">
        <v>2429</v>
      </c>
      <c r="E285" s="6"/>
      <c r="F285" s="45" t="s">
        <v>2456</v>
      </c>
      <c r="G285" s="9" t="s">
        <v>2455</v>
      </c>
      <c r="H285" s="45" t="s">
        <v>2456</v>
      </c>
      <c r="I285" s="45" t="s">
        <v>2456</v>
      </c>
      <c r="J285" s="6" t="s">
        <v>1138</v>
      </c>
      <c r="K285" s="6" t="s">
        <v>673</v>
      </c>
      <c r="L285" s="6" t="s">
        <v>514</v>
      </c>
      <c r="M285" s="6" t="s">
        <v>469</v>
      </c>
      <c r="N285" s="49" t="s">
        <v>1663</v>
      </c>
      <c r="O285" s="43"/>
      <c r="P285" s="6"/>
      <c r="Q285" s="5"/>
      <c r="R285" s="5"/>
      <c r="S285" s="5"/>
    </row>
    <row r="286" spans="2:19" ht="16.5" customHeight="1" x14ac:dyDescent="0.2">
      <c r="B286" s="6">
        <v>467</v>
      </c>
      <c r="C286" s="6">
        <v>267</v>
      </c>
      <c r="D286" s="33" t="s">
        <v>2430</v>
      </c>
      <c r="E286" s="6"/>
      <c r="F286" s="45" t="s">
        <v>2458</v>
      </c>
      <c r="G286" s="37" t="s">
        <v>2457</v>
      </c>
      <c r="H286" s="45" t="s">
        <v>2458</v>
      </c>
      <c r="I286" s="45" t="s">
        <v>2458</v>
      </c>
      <c r="J286" s="6" t="s">
        <v>1138</v>
      </c>
      <c r="K286" s="6" t="s">
        <v>673</v>
      </c>
      <c r="L286" s="6" t="s">
        <v>514</v>
      </c>
      <c r="M286" s="6" t="s">
        <v>469</v>
      </c>
      <c r="N286" s="49" t="s">
        <v>1663</v>
      </c>
      <c r="O286" s="43"/>
      <c r="P286" s="6"/>
      <c r="Q286" s="5"/>
      <c r="R286" s="5"/>
      <c r="S286" s="5"/>
    </row>
    <row r="287" spans="2:19" ht="16.5" customHeight="1" x14ac:dyDescent="0.2">
      <c r="B287" s="6">
        <v>468</v>
      </c>
      <c r="C287" s="6">
        <v>268</v>
      </c>
      <c r="D287" s="33" t="s">
        <v>2431</v>
      </c>
      <c r="E287" s="6"/>
      <c r="F287" s="45" t="s">
        <v>2460</v>
      </c>
      <c r="G287" s="9" t="s">
        <v>2459</v>
      </c>
      <c r="H287" s="45" t="s">
        <v>2460</v>
      </c>
      <c r="I287" s="45" t="s">
        <v>2460</v>
      </c>
      <c r="J287" s="6" t="s">
        <v>1138</v>
      </c>
      <c r="K287" s="6" t="s">
        <v>673</v>
      </c>
      <c r="L287" s="6" t="s">
        <v>514</v>
      </c>
      <c r="M287" s="6" t="s">
        <v>469</v>
      </c>
      <c r="N287" s="49" t="s">
        <v>1663</v>
      </c>
      <c r="O287" s="43"/>
      <c r="P287" s="6"/>
      <c r="Q287" s="5"/>
      <c r="R287" s="5"/>
      <c r="S287" s="5"/>
    </row>
    <row r="288" spans="2:19" ht="16.5" customHeight="1" x14ac:dyDescent="0.2">
      <c r="B288" s="6">
        <v>469</v>
      </c>
      <c r="C288" s="6">
        <v>269</v>
      </c>
      <c r="D288" s="33" t="s">
        <v>2432</v>
      </c>
      <c r="E288" s="6"/>
      <c r="F288" s="45" t="s">
        <v>2462</v>
      </c>
      <c r="G288" s="9" t="s">
        <v>2461</v>
      </c>
      <c r="H288" s="45" t="s">
        <v>2462</v>
      </c>
      <c r="I288" s="45" t="s">
        <v>2462</v>
      </c>
      <c r="J288" s="6" t="s">
        <v>1138</v>
      </c>
      <c r="K288" s="6" t="s">
        <v>673</v>
      </c>
      <c r="L288" s="6" t="s">
        <v>514</v>
      </c>
      <c r="M288" s="6" t="s">
        <v>469</v>
      </c>
      <c r="N288" s="49" t="s">
        <v>1663</v>
      </c>
      <c r="O288" s="43"/>
      <c r="P288" s="6"/>
      <c r="Q288" s="5"/>
      <c r="R288" s="5"/>
      <c r="S288" s="5"/>
    </row>
    <row r="289" spans="2:19" ht="16.5" customHeight="1" x14ac:dyDescent="0.2">
      <c r="B289" s="6">
        <v>353</v>
      </c>
      <c r="C289" s="6">
        <v>153</v>
      </c>
      <c r="D289" s="33" t="s">
        <v>1927</v>
      </c>
      <c r="E289" s="6" t="s">
        <v>915</v>
      </c>
      <c r="F289" s="33" t="s">
        <v>2015</v>
      </c>
      <c r="G289" s="37" t="s">
        <v>2014</v>
      </c>
      <c r="H289" s="33" t="s">
        <v>2015</v>
      </c>
      <c r="I289" s="33" t="s">
        <v>2017</v>
      </c>
      <c r="J289" s="5" t="s">
        <v>2016</v>
      </c>
      <c r="K289" s="6" t="s">
        <v>1975</v>
      </c>
      <c r="L289" s="6" t="s">
        <v>514</v>
      </c>
      <c r="M289" s="49" t="s">
        <v>469</v>
      </c>
      <c r="N289" s="6" t="s">
        <v>1663</v>
      </c>
      <c r="P289" s="6"/>
      <c r="Q289" s="5"/>
      <c r="R289" s="5"/>
      <c r="S289" s="5"/>
    </row>
    <row r="290" spans="2:19" ht="16.5" customHeight="1" x14ac:dyDescent="0.2">
      <c r="B290" s="6">
        <v>96</v>
      </c>
      <c r="C290" s="6">
        <v>96</v>
      </c>
      <c r="D290" s="45" t="s">
        <v>1508</v>
      </c>
      <c r="E290" s="45" t="s">
        <v>1509</v>
      </c>
      <c r="F290" s="5" t="s">
        <v>442</v>
      </c>
      <c r="G290" s="5" t="s">
        <v>440</v>
      </c>
      <c r="H290" s="5" t="s">
        <v>442</v>
      </c>
      <c r="I290" s="45" t="s">
        <v>1090</v>
      </c>
      <c r="J290" s="5" t="s">
        <v>441</v>
      </c>
      <c r="K290" s="5" t="s">
        <v>13</v>
      </c>
      <c r="L290" s="6" t="s">
        <v>514</v>
      </c>
      <c r="M290" s="6" t="s">
        <v>469</v>
      </c>
      <c r="N290" s="6" t="s">
        <v>1662</v>
      </c>
      <c r="P290" s="6">
        <v>1</v>
      </c>
      <c r="Q290" s="5"/>
      <c r="R290" s="5"/>
      <c r="S290" s="5"/>
    </row>
    <row r="291" spans="2:19" ht="16.5" customHeight="1" x14ac:dyDescent="0.2">
      <c r="B291" s="6">
        <f>600+Tabla3[[#This Row],[interno]]</f>
        <v>619</v>
      </c>
      <c r="C291" s="6">
        <v>19</v>
      </c>
      <c r="D291" s="81">
        <v>3331157081</v>
      </c>
      <c r="E291" s="81">
        <v>3331157081</v>
      </c>
      <c r="F291" s="75" t="s">
        <v>487</v>
      </c>
      <c r="G291" s="75" t="s">
        <v>1856</v>
      </c>
      <c r="H291" s="75" t="s">
        <v>487</v>
      </c>
      <c r="I291" s="76"/>
      <c r="J291" s="75" t="s">
        <v>441</v>
      </c>
      <c r="K291" s="75" t="s">
        <v>94</v>
      </c>
      <c r="L291" s="74" t="s">
        <v>514</v>
      </c>
      <c r="M291" s="76" t="s">
        <v>469</v>
      </c>
      <c r="N291" s="76" t="s">
        <v>1665</v>
      </c>
      <c r="O291" s="76"/>
      <c r="P291" s="6">
        <v>1</v>
      </c>
      <c r="Q291" s="5"/>
      <c r="R291" s="5"/>
      <c r="S291" s="5"/>
    </row>
    <row r="292" spans="2:19" ht="16.5" customHeight="1" x14ac:dyDescent="0.2">
      <c r="B292" s="6">
        <v>57</v>
      </c>
      <c r="C292" s="6">
        <v>57</v>
      </c>
      <c r="D292" s="45" t="s">
        <v>1447</v>
      </c>
      <c r="E292" s="45" t="s">
        <v>1448</v>
      </c>
      <c r="F292" s="5" t="s">
        <v>1161</v>
      </c>
      <c r="G292" s="5" t="s">
        <v>1162</v>
      </c>
      <c r="H292" s="5" t="s">
        <v>1161</v>
      </c>
      <c r="I292" s="45" t="s">
        <v>471</v>
      </c>
      <c r="J292" s="5" t="s">
        <v>441</v>
      </c>
      <c r="K292" s="5" t="s">
        <v>94</v>
      </c>
      <c r="L292" s="6" t="s">
        <v>514</v>
      </c>
      <c r="M292" s="6" t="s">
        <v>469</v>
      </c>
      <c r="N292" s="6" t="s">
        <v>1662</v>
      </c>
      <c r="P292" s="6">
        <v>1</v>
      </c>
      <c r="Q292" s="5"/>
      <c r="R292" s="5"/>
      <c r="S292" s="5"/>
    </row>
    <row r="293" spans="2:19" ht="16.5" customHeight="1" x14ac:dyDescent="0.2">
      <c r="B293" s="6">
        <v>48</v>
      </c>
      <c r="C293" s="6">
        <v>48</v>
      </c>
      <c r="D293" s="45" t="s">
        <v>1431</v>
      </c>
      <c r="E293" s="45" t="s">
        <v>1432</v>
      </c>
      <c r="F293" s="5" t="s">
        <v>457</v>
      </c>
      <c r="G293" s="5" t="s">
        <v>456</v>
      </c>
      <c r="H293" s="5" t="s">
        <v>457</v>
      </c>
      <c r="I293" s="45" t="s">
        <v>1091</v>
      </c>
      <c r="J293" s="5" t="s">
        <v>441</v>
      </c>
      <c r="K293" s="5" t="s">
        <v>94</v>
      </c>
      <c r="L293" s="6" t="s">
        <v>514</v>
      </c>
      <c r="M293" s="6" t="s">
        <v>469</v>
      </c>
      <c r="N293" s="6" t="s">
        <v>1662</v>
      </c>
      <c r="P293" s="6">
        <v>1</v>
      </c>
      <c r="Q293" s="5"/>
      <c r="R293" s="5"/>
      <c r="S293" s="5"/>
    </row>
    <row r="294" spans="2:19" ht="16.5" customHeight="1" x14ac:dyDescent="0.2">
      <c r="B294" s="6">
        <v>435</v>
      </c>
      <c r="C294" s="6">
        <v>235</v>
      </c>
      <c r="D294" s="33" t="s">
        <v>2368</v>
      </c>
      <c r="E294" s="6"/>
      <c r="F294" s="5" t="s">
        <v>489</v>
      </c>
      <c r="G294" s="5" t="s">
        <v>2363</v>
      </c>
      <c r="H294" s="5" t="s">
        <v>489</v>
      </c>
      <c r="I294" s="49"/>
      <c r="J294" s="5" t="s">
        <v>441</v>
      </c>
      <c r="K294" s="5" t="s">
        <v>94</v>
      </c>
      <c r="L294" s="6" t="s">
        <v>514</v>
      </c>
      <c r="M294" s="49" t="s">
        <v>469</v>
      </c>
      <c r="N294" s="49" t="s">
        <v>1663</v>
      </c>
      <c r="P294" s="6"/>
      <c r="Q294" s="5"/>
      <c r="R294" s="5"/>
      <c r="S294" s="5"/>
    </row>
    <row r="295" spans="2:19" ht="16.5" customHeight="1" x14ac:dyDescent="0.2">
      <c r="B295" s="6">
        <f>600+Tabla3[[#This Row],[interno]]</f>
        <v>606</v>
      </c>
      <c r="C295" s="6">
        <v>6</v>
      </c>
      <c r="D295" s="79">
        <v>3316021147</v>
      </c>
      <c r="E295" s="79">
        <v>3316021147</v>
      </c>
      <c r="F295" s="59" t="s">
        <v>490</v>
      </c>
      <c r="G295" s="59" t="s">
        <v>488</v>
      </c>
      <c r="H295" s="5" t="s">
        <v>490</v>
      </c>
      <c r="I295" s="49"/>
      <c r="J295" s="5" t="s">
        <v>441</v>
      </c>
      <c r="K295" s="5" t="s">
        <v>94</v>
      </c>
      <c r="L295" s="6" t="s">
        <v>514</v>
      </c>
      <c r="M295" s="49" t="s">
        <v>469</v>
      </c>
      <c r="N295" s="49" t="s">
        <v>1665</v>
      </c>
      <c r="O295" s="49"/>
      <c r="P295" s="6">
        <v>1</v>
      </c>
      <c r="Q295" s="5"/>
      <c r="R295" s="5"/>
      <c r="S295" s="5"/>
    </row>
    <row r="296" spans="2:19" ht="16.5" customHeight="1" x14ac:dyDescent="0.2">
      <c r="B296" s="6">
        <f>600+Tabla3[[#This Row],[interno]]</f>
        <v>621</v>
      </c>
      <c r="C296" s="6">
        <v>21</v>
      </c>
      <c r="D296" s="79">
        <v>3339558948</v>
      </c>
      <c r="E296" s="79">
        <v>3339558948</v>
      </c>
      <c r="F296" s="59" t="s">
        <v>491</v>
      </c>
      <c r="G296" s="59" t="s">
        <v>492</v>
      </c>
      <c r="H296" s="5" t="s">
        <v>491</v>
      </c>
      <c r="I296" s="49"/>
      <c r="J296" s="5" t="s">
        <v>441</v>
      </c>
      <c r="K296" s="5" t="s">
        <v>94</v>
      </c>
      <c r="L296" s="6" t="s">
        <v>514</v>
      </c>
      <c r="M296" s="49" t="s">
        <v>469</v>
      </c>
      <c r="N296" s="49" t="s">
        <v>1665</v>
      </c>
      <c r="O296" s="49"/>
      <c r="P296" s="6">
        <v>1</v>
      </c>
      <c r="Q296" s="5"/>
      <c r="R296" s="5"/>
      <c r="S296" s="5"/>
    </row>
    <row r="297" spans="2:19" ht="16.5" customHeight="1" x14ac:dyDescent="0.2">
      <c r="B297" s="6">
        <f>600+Tabla3[[#This Row],[interno]]</f>
        <v>605</v>
      </c>
      <c r="C297" s="6">
        <v>5</v>
      </c>
      <c r="D297" s="79">
        <v>3316019756</v>
      </c>
      <c r="E297" s="79">
        <v>3316019756</v>
      </c>
      <c r="F297" s="59" t="s">
        <v>493</v>
      </c>
      <c r="G297" s="59" t="s">
        <v>494</v>
      </c>
      <c r="H297" s="5" t="s">
        <v>493</v>
      </c>
      <c r="I297" s="49"/>
      <c r="J297" s="5" t="s">
        <v>441</v>
      </c>
      <c r="K297" s="5" t="s">
        <v>94</v>
      </c>
      <c r="L297" s="6" t="s">
        <v>514</v>
      </c>
      <c r="M297" s="49" t="s">
        <v>469</v>
      </c>
      <c r="N297" s="49" t="s">
        <v>1665</v>
      </c>
      <c r="O297" s="49"/>
      <c r="P297" s="6">
        <v>1</v>
      </c>
      <c r="Q297" s="5"/>
      <c r="R297" s="5"/>
      <c r="S297" s="5"/>
    </row>
    <row r="298" spans="2:19" ht="16.5" customHeight="1" x14ac:dyDescent="0.2">
      <c r="B298" s="6">
        <f>600+Tabla3[[#This Row],[interno]]</f>
        <v>624</v>
      </c>
      <c r="C298" s="6">
        <v>24</v>
      </c>
      <c r="D298" s="79">
        <v>3339682584</v>
      </c>
      <c r="E298" s="79">
        <v>3339682584</v>
      </c>
      <c r="F298" s="59" t="s">
        <v>495</v>
      </c>
      <c r="G298" s="59" t="s">
        <v>496</v>
      </c>
      <c r="H298" s="5" t="s">
        <v>495</v>
      </c>
      <c r="I298" s="49"/>
      <c r="J298" s="5" t="s">
        <v>441</v>
      </c>
      <c r="K298" s="5" t="s">
        <v>94</v>
      </c>
      <c r="L298" s="6" t="s">
        <v>514</v>
      </c>
      <c r="M298" s="49" t="s">
        <v>469</v>
      </c>
      <c r="N298" s="49" t="s">
        <v>1665</v>
      </c>
      <c r="O298" s="49"/>
      <c r="P298" s="6">
        <v>1</v>
      </c>
      <c r="Q298" s="5"/>
      <c r="R298" s="5"/>
      <c r="S298" s="5"/>
    </row>
    <row r="299" spans="2:19" ht="16.5" customHeight="1" x14ac:dyDescent="0.2">
      <c r="B299" s="6">
        <f>600+Tabla3[[#This Row],[interno]]</f>
        <v>625</v>
      </c>
      <c r="C299" s="6">
        <v>25</v>
      </c>
      <c r="D299" s="79">
        <v>3339682593</v>
      </c>
      <c r="E299" s="79">
        <v>3339682593</v>
      </c>
      <c r="F299" s="59" t="s">
        <v>497</v>
      </c>
      <c r="G299" s="59" t="s">
        <v>498</v>
      </c>
      <c r="H299" s="5" t="s">
        <v>497</v>
      </c>
      <c r="I299" s="49"/>
      <c r="J299" s="5" t="s">
        <v>441</v>
      </c>
      <c r="K299" s="5" t="s">
        <v>94</v>
      </c>
      <c r="L299" s="6" t="s">
        <v>514</v>
      </c>
      <c r="M299" s="49" t="s">
        <v>469</v>
      </c>
      <c r="N299" s="49" t="s">
        <v>1665</v>
      </c>
      <c r="O299" s="49"/>
      <c r="P299" s="6">
        <v>1</v>
      </c>
      <c r="Q299" s="5"/>
      <c r="R299" s="5"/>
      <c r="S299" s="5"/>
    </row>
    <row r="300" spans="2:19" ht="16.5" customHeight="1" x14ac:dyDescent="0.2">
      <c r="B300" s="6">
        <v>731</v>
      </c>
      <c r="C300" s="6">
        <v>31</v>
      </c>
      <c r="D300" s="33" t="s">
        <v>665</v>
      </c>
      <c r="E300" s="33" t="s">
        <v>2151</v>
      </c>
      <c r="F300" s="5" t="s">
        <v>1163</v>
      </c>
      <c r="G300" s="5" t="s">
        <v>699</v>
      </c>
      <c r="H300" s="5" t="s">
        <v>1163</v>
      </c>
      <c r="I300" s="33" t="s">
        <v>2171</v>
      </c>
      <c r="J300" s="5" t="s">
        <v>1164</v>
      </c>
      <c r="K300" s="5" t="s">
        <v>225</v>
      </c>
      <c r="L300" s="6" t="s">
        <v>514</v>
      </c>
      <c r="M300" s="6" t="s">
        <v>582</v>
      </c>
      <c r="N300" s="6" t="s">
        <v>1666</v>
      </c>
      <c r="P300" s="6">
        <v>1</v>
      </c>
      <c r="Q300" s="5"/>
      <c r="R300" s="5"/>
      <c r="S300" s="5"/>
    </row>
    <row r="301" spans="2:19" ht="16.5" customHeight="1" x14ac:dyDescent="0.2">
      <c r="B301" s="6">
        <v>359</v>
      </c>
      <c r="C301" s="6">
        <v>159</v>
      </c>
      <c r="D301" s="33" t="s">
        <v>2204</v>
      </c>
      <c r="E301" s="6" t="s">
        <v>915</v>
      </c>
      <c r="F301" s="33" t="s">
        <v>2669</v>
      </c>
      <c r="G301" s="9" t="s">
        <v>2100</v>
      </c>
      <c r="J301" s="6" t="s">
        <v>2102</v>
      </c>
      <c r="K301" s="6" t="s">
        <v>1087</v>
      </c>
      <c r="L301" s="6" t="s">
        <v>1087</v>
      </c>
      <c r="M301" s="6" t="s">
        <v>2099</v>
      </c>
      <c r="N301" s="6" t="s">
        <v>1663</v>
      </c>
      <c r="O301" s="43">
        <v>44566</v>
      </c>
      <c r="P301" s="6"/>
      <c r="Q301" s="5"/>
      <c r="R301" s="5"/>
      <c r="S301" s="5"/>
    </row>
    <row r="302" spans="2:19" ht="16.5" customHeight="1" x14ac:dyDescent="0.2">
      <c r="B302" s="6">
        <f>800+Tabla3[[#This Row],[interno]]</f>
        <v>804</v>
      </c>
      <c r="C302" s="6">
        <v>4</v>
      </c>
      <c r="D302" s="6">
        <v>3338225936</v>
      </c>
      <c r="E302" s="6">
        <v>3338225936</v>
      </c>
      <c r="F302" s="5" t="s">
        <v>851</v>
      </c>
      <c r="G302" s="5" t="s">
        <v>850</v>
      </c>
      <c r="H302" s="5" t="s">
        <v>851</v>
      </c>
      <c r="I302" s="33" t="s">
        <v>851</v>
      </c>
      <c r="J302" s="5" t="s">
        <v>826</v>
      </c>
      <c r="K302" s="5" t="s">
        <v>230</v>
      </c>
      <c r="L302" s="6" t="s">
        <v>514</v>
      </c>
      <c r="M302" s="49" t="s">
        <v>469</v>
      </c>
      <c r="N302" s="6" t="s">
        <v>1668</v>
      </c>
      <c r="O302" s="43">
        <v>44543</v>
      </c>
      <c r="P302" s="6">
        <v>1</v>
      </c>
      <c r="Q302" s="5">
        <v>50</v>
      </c>
      <c r="R302" s="5"/>
      <c r="S302" s="5"/>
    </row>
    <row r="303" spans="2:19" ht="16.5" customHeight="1" x14ac:dyDescent="0.2">
      <c r="B303" s="6">
        <v>356</v>
      </c>
      <c r="C303" s="6">
        <v>156</v>
      </c>
      <c r="D303" s="33" t="s">
        <v>1930</v>
      </c>
      <c r="E303" s="6" t="s">
        <v>915</v>
      </c>
      <c r="F303" s="33" t="s">
        <v>2656</v>
      </c>
      <c r="G303" s="9" t="s">
        <v>2100</v>
      </c>
      <c r="H303" s="33" t="s">
        <v>2656</v>
      </c>
      <c r="I303" s="33" t="s">
        <v>2656</v>
      </c>
      <c r="J303" s="6" t="s">
        <v>2102</v>
      </c>
      <c r="K303" s="6" t="s">
        <v>1087</v>
      </c>
      <c r="L303" s="6" t="s">
        <v>1087</v>
      </c>
      <c r="M303" s="6" t="s">
        <v>2099</v>
      </c>
      <c r="N303" s="6" t="s">
        <v>1663</v>
      </c>
      <c r="O303" s="43">
        <v>44566</v>
      </c>
      <c r="P303" s="6"/>
      <c r="Q303" s="5"/>
      <c r="R303" s="5"/>
      <c r="S303" s="5"/>
    </row>
    <row r="304" spans="2:19" ht="16.5" customHeight="1" x14ac:dyDescent="0.2">
      <c r="B304" s="6">
        <v>549</v>
      </c>
      <c r="D304" s="33" t="s">
        <v>2040</v>
      </c>
      <c r="E304" s="6" t="s">
        <v>472</v>
      </c>
      <c r="F304" s="42" t="s">
        <v>2044</v>
      </c>
      <c r="G304" s="37" t="s">
        <v>2052</v>
      </c>
      <c r="H304" s="42" t="s">
        <v>2044</v>
      </c>
      <c r="I304" s="42" t="s">
        <v>2044</v>
      </c>
      <c r="J304" s="6" t="s">
        <v>2058</v>
      </c>
      <c r="K304" s="6" t="s">
        <v>2057</v>
      </c>
      <c r="L304" s="6" t="s">
        <v>2059</v>
      </c>
      <c r="M304" s="6" t="s">
        <v>1724</v>
      </c>
      <c r="N304" s="6" t="s">
        <v>2038</v>
      </c>
      <c r="O304" s="43">
        <v>44807</v>
      </c>
      <c r="P304" s="6"/>
      <c r="Q304" s="5"/>
      <c r="R304" s="5"/>
      <c r="S304" s="5"/>
    </row>
    <row r="305" spans="2:19" ht="16.5" customHeight="1" x14ac:dyDescent="0.2">
      <c r="B305" s="6">
        <v>548</v>
      </c>
      <c r="D305" s="33" t="s">
        <v>2040</v>
      </c>
      <c r="E305" s="6" t="s">
        <v>472</v>
      </c>
      <c r="F305" s="42" t="s">
        <v>2043</v>
      </c>
      <c r="G305" s="37" t="s">
        <v>2051</v>
      </c>
      <c r="H305" s="42" t="s">
        <v>2043</v>
      </c>
      <c r="I305" s="42" t="s">
        <v>2043</v>
      </c>
      <c r="J305" s="6" t="s">
        <v>2058</v>
      </c>
      <c r="K305" s="6" t="s">
        <v>2057</v>
      </c>
      <c r="L305" s="6" t="s">
        <v>2059</v>
      </c>
      <c r="M305" s="6" t="s">
        <v>1724</v>
      </c>
      <c r="N305" s="6" t="s">
        <v>2038</v>
      </c>
      <c r="O305" s="43">
        <v>44889</v>
      </c>
      <c r="P305" s="6"/>
      <c r="Q305" s="5"/>
      <c r="R305" s="5"/>
      <c r="S305" s="5"/>
    </row>
    <row r="306" spans="2:19" ht="16.5" customHeight="1" x14ac:dyDescent="0.2">
      <c r="B306" s="6">
        <v>547</v>
      </c>
      <c r="D306" s="33" t="s">
        <v>2040</v>
      </c>
      <c r="E306" s="6" t="s">
        <v>472</v>
      </c>
      <c r="F306" s="42" t="s">
        <v>2042</v>
      </c>
      <c r="G306" s="37" t="s">
        <v>2050</v>
      </c>
      <c r="H306" s="42" t="s">
        <v>2042</v>
      </c>
      <c r="I306" s="42" t="s">
        <v>2042</v>
      </c>
      <c r="J306" s="6" t="s">
        <v>2058</v>
      </c>
      <c r="K306" s="6" t="s">
        <v>2057</v>
      </c>
      <c r="L306" s="6" t="s">
        <v>2059</v>
      </c>
      <c r="M306" s="6" t="s">
        <v>1724</v>
      </c>
      <c r="N306" s="6" t="s">
        <v>2038</v>
      </c>
      <c r="O306" s="43">
        <v>44657</v>
      </c>
      <c r="P306" s="6"/>
      <c r="Q306" s="5"/>
      <c r="R306" s="5"/>
      <c r="S306" s="5"/>
    </row>
    <row r="307" spans="2:19" ht="16.5" customHeight="1" x14ac:dyDescent="0.2">
      <c r="B307" s="6">
        <v>550</v>
      </c>
      <c r="D307" s="33" t="s">
        <v>2040</v>
      </c>
      <c r="E307" s="6" t="s">
        <v>472</v>
      </c>
      <c r="F307" s="42" t="s">
        <v>2045</v>
      </c>
      <c r="G307" s="37" t="s">
        <v>2053</v>
      </c>
      <c r="H307" s="42" t="s">
        <v>2045</v>
      </c>
      <c r="I307" s="42" t="s">
        <v>2045</v>
      </c>
      <c r="J307" s="6" t="s">
        <v>2058</v>
      </c>
      <c r="K307" s="6" t="s">
        <v>2057</v>
      </c>
      <c r="L307" s="6" t="s">
        <v>2059</v>
      </c>
      <c r="M307" s="6" t="s">
        <v>1724</v>
      </c>
      <c r="N307" s="6" t="s">
        <v>2038</v>
      </c>
      <c r="O307" s="43">
        <v>44747</v>
      </c>
      <c r="P307" s="6"/>
      <c r="Q307" s="5"/>
      <c r="R307" s="5"/>
      <c r="S307" s="5"/>
    </row>
    <row r="308" spans="2:19" ht="16.5" customHeight="1" x14ac:dyDescent="0.2">
      <c r="B308" s="6">
        <f>800+Tabla3[[#This Row],[interno]]</f>
        <v>802</v>
      </c>
      <c r="C308" s="6">
        <v>2</v>
      </c>
      <c r="D308" s="6">
        <v>3313255752</v>
      </c>
      <c r="E308" s="6">
        <v>3313255752</v>
      </c>
      <c r="F308" s="5" t="s">
        <v>853</v>
      </c>
      <c r="G308" s="5" t="s">
        <v>852</v>
      </c>
      <c r="H308" s="5" t="s">
        <v>853</v>
      </c>
      <c r="I308" s="33" t="s">
        <v>853</v>
      </c>
      <c r="J308" s="5" t="s">
        <v>854</v>
      </c>
      <c r="K308" s="5" t="s">
        <v>230</v>
      </c>
      <c r="L308" s="6" t="s">
        <v>514</v>
      </c>
      <c r="M308" s="49" t="s">
        <v>469</v>
      </c>
      <c r="N308" s="49" t="s">
        <v>1668</v>
      </c>
      <c r="O308" s="43">
        <v>44543</v>
      </c>
      <c r="P308" s="6">
        <v>1</v>
      </c>
      <c r="Q308" s="5">
        <v>50</v>
      </c>
      <c r="R308" s="5"/>
      <c r="S308" s="5"/>
    </row>
    <row r="309" spans="2:19" ht="16.5" customHeight="1" x14ac:dyDescent="0.2">
      <c r="B309" s="6">
        <v>355</v>
      </c>
      <c r="C309" s="6">
        <v>155</v>
      </c>
      <c r="D309" s="33" t="s">
        <v>1929</v>
      </c>
      <c r="E309" s="6" t="s">
        <v>915</v>
      </c>
      <c r="F309" s="33" t="s">
        <v>2655</v>
      </c>
      <c r="G309" s="9" t="s">
        <v>2100</v>
      </c>
      <c r="H309" s="33" t="s">
        <v>2655</v>
      </c>
      <c r="I309" s="33" t="s">
        <v>2655</v>
      </c>
      <c r="J309" s="6" t="s">
        <v>2102</v>
      </c>
      <c r="K309" s="6" t="s">
        <v>1087</v>
      </c>
      <c r="L309" s="6" t="s">
        <v>1087</v>
      </c>
      <c r="M309" s="6" t="s">
        <v>2099</v>
      </c>
      <c r="N309" s="6" t="s">
        <v>1663</v>
      </c>
      <c r="O309" s="43">
        <v>44566</v>
      </c>
      <c r="P309" s="6"/>
      <c r="Q309" s="5"/>
      <c r="R309" s="5"/>
      <c r="S309" s="5"/>
    </row>
    <row r="310" spans="2:19" ht="16.5" customHeight="1" x14ac:dyDescent="0.2">
      <c r="B310" s="6">
        <v>354</v>
      </c>
      <c r="C310" s="6">
        <v>154</v>
      </c>
      <c r="D310" s="33" t="s">
        <v>1928</v>
      </c>
      <c r="E310" s="6" t="s">
        <v>915</v>
      </c>
      <c r="F310" s="33" t="s">
        <v>2654</v>
      </c>
      <c r="G310" s="9" t="s">
        <v>2100</v>
      </c>
      <c r="H310" s="33" t="s">
        <v>2654</v>
      </c>
      <c r="I310" s="33" t="s">
        <v>2654</v>
      </c>
      <c r="J310" s="6" t="s">
        <v>2102</v>
      </c>
      <c r="K310" s="6" t="s">
        <v>1087</v>
      </c>
      <c r="L310" s="6" t="s">
        <v>1087</v>
      </c>
      <c r="M310" s="6" t="s">
        <v>2099</v>
      </c>
      <c r="N310" s="6" t="s">
        <v>1663</v>
      </c>
      <c r="O310" s="43">
        <v>44563</v>
      </c>
      <c r="P310" s="6"/>
      <c r="Q310" s="5"/>
      <c r="R310" s="5"/>
      <c r="S310" s="5"/>
    </row>
    <row r="311" spans="2:19" ht="16.5" customHeight="1" x14ac:dyDescent="0.2">
      <c r="B311" s="6">
        <v>902</v>
      </c>
      <c r="C311" s="6">
        <v>2</v>
      </c>
      <c r="D311" s="33" t="s">
        <v>1015</v>
      </c>
      <c r="E311" s="74" t="s">
        <v>915</v>
      </c>
      <c r="F311" s="75" t="s">
        <v>544</v>
      </c>
      <c r="G311" s="75" t="s">
        <v>1165</v>
      </c>
      <c r="H311" s="5" t="s">
        <v>544</v>
      </c>
      <c r="I311" s="33" t="s">
        <v>631</v>
      </c>
      <c r="J311" s="5" t="s">
        <v>543</v>
      </c>
      <c r="K311" s="5" t="s">
        <v>327</v>
      </c>
      <c r="L311" s="6" t="s">
        <v>514</v>
      </c>
      <c r="M311" s="49" t="s">
        <v>469</v>
      </c>
      <c r="N311" s="49" t="s">
        <v>2179</v>
      </c>
      <c r="O311" s="76" t="s">
        <v>2515</v>
      </c>
      <c r="P311" s="6"/>
      <c r="Q311" s="5"/>
      <c r="R311" s="5"/>
      <c r="S311" s="5"/>
    </row>
    <row r="312" spans="2:19" ht="16.5" customHeight="1" x14ac:dyDescent="0.2">
      <c r="B312" s="6">
        <v>708</v>
      </c>
      <c r="C312" s="6">
        <v>8</v>
      </c>
      <c r="D312" s="33" t="s">
        <v>561</v>
      </c>
      <c r="E312" s="33" t="s">
        <v>2129</v>
      </c>
      <c r="F312" s="5" t="s">
        <v>545</v>
      </c>
      <c r="G312" s="68" t="s">
        <v>1166</v>
      </c>
      <c r="H312" s="5" t="s">
        <v>545</v>
      </c>
      <c r="I312" s="33" t="s">
        <v>632</v>
      </c>
      <c r="J312" s="5" t="s">
        <v>543</v>
      </c>
      <c r="K312" s="5" t="s">
        <v>327</v>
      </c>
      <c r="L312" s="6" t="s">
        <v>514</v>
      </c>
      <c r="M312" s="6" t="s">
        <v>469</v>
      </c>
      <c r="N312" s="6" t="s">
        <v>1666</v>
      </c>
      <c r="O312" s="49" t="s">
        <v>2515</v>
      </c>
      <c r="P312" s="6">
        <v>1</v>
      </c>
      <c r="Q312" s="45"/>
      <c r="R312" s="5"/>
      <c r="S312" s="5"/>
    </row>
    <row r="313" spans="2:19" ht="16.5" customHeight="1" x14ac:dyDescent="0.2">
      <c r="B313" s="6">
        <v>709</v>
      </c>
      <c r="C313" s="6">
        <v>9</v>
      </c>
      <c r="D313" s="33" t="s">
        <v>532</v>
      </c>
      <c r="E313" s="33" t="s">
        <v>2130</v>
      </c>
      <c r="F313" s="5" t="s">
        <v>546</v>
      </c>
      <c r="G313" s="68" t="s">
        <v>1167</v>
      </c>
      <c r="H313" s="5" t="s">
        <v>546</v>
      </c>
      <c r="I313" s="33" t="s">
        <v>633</v>
      </c>
      <c r="J313" s="5" t="s">
        <v>543</v>
      </c>
      <c r="K313" s="5" t="s">
        <v>327</v>
      </c>
      <c r="L313" s="6" t="s">
        <v>514</v>
      </c>
      <c r="M313" s="6" t="s">
        <v>469</v>
      </c>
      <c r="N313" s="6" t="s">
        <v>1666</v>
      </c>
      <c r="O313" s="49" t="s">
        <v>2515</v>
      </c>
      <c r="P313" s="6">
        <v>1</v>
      </c>
      <c r="Q313" s="5"/>
      <c r="R313" s="5"/>
      <c r="S313" s="5"/>
    </row>
    <row r="314" spans="2:19" ht="16.5" customHeight="1" x14ac:dyDescent="0.2">
      <c r="B314" s="6">
        <v>916</v>
      </c>
      <c r="C314" s="6">
        <v>16</v>
      </c>
      <c r="D314" s="33" t="s">
        <v>1908</v>
      </c>
      <c r="E314" s="6" t="s">
        <v>915</v>
      </c>
      <c r="F314" s="33" t="s">
        <v>1940</v>
      </c>
      <c r="G314" s="9" t="s">
        <v>1936</v>
      </c>
      <c r="H314" s="33" t="s">
        <v>1940</v>
      </c>
      <c r="I314" s="33" t="s">
        <v>1940</v>
      </c>
      <c r="J314" s="5"/>
      <c r="K314" s="6" t="s">
        <v>1942</v>
      </c>
      <c r="L314" s="6" t="s">
        <v>514</v>
      </c>
      <c r="M314" s="49" t="s">
        <v>469</v>
      </c>
      <c r="N314" s="49" t="s">
        <v>2179</v>
      </c>
      <c r="O314" s="6" t="s">
        <v>2425</v>
      </c>
      <c r="P314" s="6"/>
      <c r="Q314" s="5"/>
      <c r="R314" s="5"/>
      <c r="S314" s="5"/>
    </row>
    <row r="315" spans="2:19" ht="16.5" customHeight="1" x14ac:dyDescent="0.2">
      <c r="B315" s="6">
        <v>918</v>
      </c>
      <c r="C315" s="6">
        <v>18</v>
      </c>
      <c r="D315" s="33" t="s">
        <v>1910</v>
      </c>
      <c r="E315" s="6" t="s">
        <v>915</v>
      </c>
      <c r="F315" s="33" t="s">
        <v>1938</v>
      </c>
      <c r="G315" s="9" t="s">
        <v>1934</v>
      </c>
      <c r="H315" s="33" t="s">
        <v>1938</v>
      </c>
      <c r="I315" s="33" t="s">
        <v>1938</v>
      </c>
      <c r="J315" s="5"/>
      <c r="K315" s="6" t="s">
        <v>1942</v>
      </c>
      <c r="L315" s="6" t="s">
        <v>514</v>
      </c>
      <c r="M315" s="49" t="s">
        <v>469</v>
      </c>
      <c r="N315" s="49" t="s">
        <v>2179</v>
      </c>
      <c r="O315" s="6" t="s">
        <v>2425</v>
      </c>
      <c r="P315" s="6"/>
      <c r="Q315" s="5"/>
      <c r="R315" s="5"/>
      <c r="S315" s="5"/>
    </row>
    <row r="316" spans="2:19" ht="16.5" customHeight="1" x14ac:dyDescent="0.2">
      <c r="B316" s="6">
        <v>914</v>
      </c>
      <c r="C316" s="6">
        <v>17</v>
      </c>
      <c r="D316" s="33" t="s">
        <v>1909</v>
      </c>
      <c r="E316" s="6" t="s">
        <v>915</v>
      </c>
      <c r="F316" s="33" t="s">
        <v>1939</v>
      </c>
      <c r="G316" s="9" t="s">
        <v>1935</v>
      </c>
      <c r="H316" s="33" t="s">
        <v>1939</v>
      </c>
      <c r="I316" s="33" t="s">
        <v>1939</v>
      </c>
      <c r="J316" s="5"/>
      <c r="K316" s="6" t="s">
        <v>1942</v>
      </c>
      <c r="L316" s="6" t="s">
        <v>514</v>
      </c>
      <c r="M316" s="49" t="s">
        <v>469</v>
      </c>
      <c r="N316" s="49" t="s">
        <v>2179</v>
      </c>
      <c r="O316" s="6" t="s">
        <v>2425</v>
      </c>
      <c r="P316" s="6"/>
      <c r="Q316" s="5"/>
      <c r="R316" s="5"/>
      <c r="S316" s="5"/>
    </row>
    <row r="317" spans="2:19" ht="16.5" customHeight="1" x14ac:dyDescent="0.2">
      <c r="B317" s="6">
        <v>551</v>
      </c>
      <c r="D317" s="33" t="s">
        <v>2040</v>
      </c>
      <c r="E317" s="6" t="s">
        <v>472</v>
      </c>
      <c r="F317" s="41" t="s">
        <v>2046</v>
      </c>
      <c r="G317" s="37" t="s">
        <v>2054</v>
      </c>
      <c r="H317" s="41" t="s">
        <v>2046</v>
      </c>
      <c r="I317" s="41" t="s">
        <v>2046</v>
      </c>
      <c r="J317" s="6" t="s">
        <v>826</v>
      </c>
      <c r="K317" s="6" t="s">
        <v>2057</v>
      </c>
      <c r="L317" s="6" t="s">
        <v>2059</v>
      </c>
      <c r="M317" s="6" t="s">
        <v>1724</v>
      </c>
      <c r="N317" s="6" t="s">
        <v>2038</v>
      </c>
      <c r="O317" s="43">
        <v>44714</v>
      </c>
      <c r="P317" s="6"/>
      <c r="Q317" s="5"/>
      <c r="R317" s="5"/>
      <c r="S317" s="5"/>
    </row>
    <row r="318" spans="2:19" ht="16.5" customHeight="1" x14ac:dyDescent="0.2">
      <c r="B318" s="6">
        <v>553</v>
      </c>
      <c r="D318" s="33" t="s">
        <v>2040</v>
      </c>
      <c r="E318" s="6" t="s">
        <v>472</v>
      </c>
      <c r="F318" s="42" t="s">
        <v>2048</v>
      </c>
      <c r="G318" s="37" t="s">
        <v>2056</v>
      </c>
      <c r="H318" s="42" t="s">
        <v>2048</v>
      </c>
      <c r="I318" s="42" t="s">
        <v>2048</v>
      </c>
      <c r="J318" s="6" t="s">
        <v>826</v>
      </c>
      <c r="K318" s="6" t="s">
        <v>2057</v>
      </c>
      <c r="L318" s="6" t="s">
        <v>2059</v>
      </c>
      <c r="M318" s="6" t="s">
        <v>1724</v>
      </c>
      <c r="N318" s="6" t="s">
        <v>2038</v>
      </c>
      <c r="O318" s="43">
        <v>44714</v>
      </c>
      <c r="P318" s="6"/>
      <c r="Q318" s="5"/>
      <c r="R318" s="5"/>
      <c r="S318" s="5"/>
    </row>
    <row r="319" spans="2:19" ht="16.5" customHeight="1" x14ac:dyDescent="0.2">
      <c r="B319" s="6">
        <v>552</v>
      </c>
      <c r="D319" s="33" t="s">
        <v>2040</v>
      </c>
      <c r="E319" s="6" t="s">
        <v>472</v>
      </c>
      <c r="F319" s="42" t="s">
        <v>2047</v>
      </c>
      <c r="G319" s="37" t="s">
        <v>2055</v>
      </c>
      <c r="H319" s="42" t="s">
        <v>2047</v>
      </c>
      <c r="I319" s="42" t="s">
        <v>2047</v>
      </c>
      <c r="J319" s="6" t="s">
        <v>826</v>
      </c>
      <c r="K319" s="6" t="s">
        <v>2057</v>
      </c>
      <c r="L319" s="6" t="s">
        <v>2059</v>
      </c>
      <c r="M319" s="6" t="s">
        <v>1724</v>
      </c>
      <c r="N319" s="6" t="s">
        <v>2038</v>
      </c>
      <c r="O319" s="43">
        <v>44714</v>
      </c>
      <c r="P319" s="6"/>
      <c r="Q319" s="5"/>
      <c r="R319" s="5"/>
      <c r="S319" s="5"/>
    </row>
    <row r="320" spans="2:19" ht="16.5" customHeight="1" x14ac:dyDescent="0.2">
      <c r="B320" s="6">
        <f>800+Tabla3[[#This Row],[interno]]</f>
        <v>803</v>
      </c>
      <c r="C320" s="6">
        <v>3</v>
      </c>
      <c r="D320" s="6">
        <v>3332384008</v>
      </c>
      <c r="E320" s="33" t="s">
        <v>823</v>
      </c>
      <c r="F320" s="5" t="s">
        <v>824</v>
      </c>
      <c r="G320" s="5" t="s">
        <v>825</v>
      </c>
      <c r="H320" s="5" t="s">
        <v>824</v>
      </c>
      <c r="I320" s="33" t="s">
        <v>824</v>
      </c>
      <c r="J320" s="5" t="s">
        <v>826</v>
      </c>
      <c r="K320" s="5" t="s">
        <v>646</v>
      </c>
      <c r="L320" s="6" t="s">
        <v>514</v>
      </c>
      <c r="M320" s="6" t="s">
        <v>469</v>
      </c>
      <c r="N320" s="6" t="s">
        <v>1668</v>
      </c>
      <c r="O320" s="43">
        <v>44543</v>
      </c>
      <c r="P320" s="6">
        <v>1</v>
      </c>
      <c r="Q320" s="5">
        <v>50</v>
      </c>
      <c r="R320" s="5"/>
      <c r="S320" s="5"/>
    </row>
    <row r="321" spans="2:19" ht="16.5" customHeight="1" x14ac:dyDescent="0.2">
      <c r="B321" s="6">
        <v>556</v>
      </c>
      <c r="D321" s="33" t="s">
        <v>2040</v>
      </c>
      <c r="E321" s="6" t="s">
        <v>472</v>
      </c>
      <c r="F321" s="37" t="s">
        <v>2069</v>
      </c>
      <c r="G321" s="33" t="s">
        <v>2071</v>
      </c>
      <c r="H321" s="37" t="s">
        <v>2069</v>
      </c>
      <c r="I321" s="37" t="s">
        <v>2069</v>
      </c>
      <c r="J321" s="6" t="s">
        <v>826</v>
      </c>
      <c r="K321" s="6" t="s">
        <v>2073</v>
      </c>
      <c r="L321" s="6" t="s">
        <v>2074</v>
      </c>
      <c r="M321" s="6" t="s">
        <v>1724</v>
      </c>
      <c r="N321" s="6" t="s">
        <v>2038</v>
      </c>
      <c r="O321" s="43">
        <v>44659</v>
      </c>
      <c r="Q321" s="5"/>
      <c r="R321" s="5"/>
      <c r="S321" s="5"/>
    </row>
    <row r="322" spans="2:19" ht="16.5" customHeight="1" x14ac:dyDescent="0.2">
      <c r="B322" s="6">
        <v>557</v>
      </c>
      <c r="D322" s="33" t="s">
        <v>2040</v>
      </c>
      <c r="E322" s="6" t="s">
        <v>472</v>
      </c>
      <c r="F322" s="37" t="s">
        <v>2070</v>
      </c>
      <c r="G322" s="33" t="s">
        <v>2072</v>
      </c>
      <c r="H322" s="37" t="s">
        <v>2070</v>
      </c>
      <c r="I322" s="37" t="s">
        <v>2070</v>
      </c>
      <c r="J322" s="6" t="s">
        <v>826</v>
      </c>
      <c r="K322" s="6" t="s">
        <v>2073</v>
      </c>
      <c r="L322" s="6" t="s">
        <v>2074</v>
      </c>
      <c r="M322" s="6" t="s">
        <v>1724</v>
      </c>
      <c r="N322" s="6" t="s">
        <v>2038</v>
      </c>
      <c r="O322" s="43">
        <v>44659</v>
      </c>
      <c r="Q322" s="5"/>
      <c r="R322" s="5"/>
      <c r="S322" s="5"/>
    </row>
    <row r="323" spans="2:19" ht="16.5" customHeight="1" x14ac:dyDescent="0.2">
      <c r="B323" s="6">
        <v>554</v>
      </c>
      <c r="D323" s="33" t="s">
        <v>2040</v>
      </c>
      <c r="E323" s="6" t="s">
        <v>472</v>
      </c>
      <c r="F323" s="33" t="s">
        <v>2060</v>
      </c>
      <c r="G323" s="37" t="s">
        <v>2061</v>
      </c>
      <c r="H323" s="33" t="s">
        <v>2060</v>
      </c>
      <c r="I323" s="33" t="s">
        <v>2060</v>
      </c>
      <c r="J323" s="6" t="s">
        <v>826</v>
      </c>
      <c r="K323" s="6" t="s">
        <v>2062</v>
      </c>
      <c r="L323" s="6" t="s">
        <v>2063</v>
      </c>
      <c r="M323" s="6" t="s">
        <v>1724</v>
      </c>
      <c r="N323" s="6" t="s">
        <v>2038</v>
      </c>
      <c r="O323" s="43">
        <v>44903</v>
      </c>
      <c r="P323" s="6"/>
      <c r="Q323" s="5"/>
      <c r="R323" s="5"/>
      <c r="S323" s="5"/>
    </row>
    <row r="324" spans="2:19" ht="16.5" customHeight="1" x14ac:dyDescent="0.2">
      <c r="B324" s="6">
        <v>72</v>
      </c>
      <c r="C324" s="6">
        <v>72</v>
      </c>
      <c r="D324" s="45" t="s">
        <v>1464</v>
      </c>
      <c r="E324" s="45" t="s">
        <v>1465</v>
      </c>
      <c r="F324" s="6" t="str">
        <f>"356430073534066"</f>
        <v>356430073534066</v>
      </c>
      <c r="G324" s="6" t="s">
        <v>416</v>
      </c>
      <c r="H324" s="6" t="str">
        <f>MID(F324,6,9)</f>
        <v>007353406</v>
      </c>
      <c r="I324" s="45" t="s">
        <v>1642</v>
      </c>
      <c r="J324" s="6" t="s">
        <v>572</v>
      </c>
      <c r="K324" s="6" t="s">
        <v>415</v>
      </c>
      <c r="L324" s="33" t="s">
        <v>573</v>
      </c>
      <c r="M324" s="33" t="s">
        <v>573</v>
      </c>
      <c r="N324" s="6" t="s">
        <v>1662</v>
      </c>
      <c r="P324" s="6">
        <v>2</v>
      </c>
      <c r="Q324" s="5"/>
      <c r="R324" s="5"/>
      <c r="S324" s="5"/>
    </row>
    <row r="325" spans="2:19" ht="16.5" customHeight="1" x14ac:dyDescent="0.2">
      <c r="B325" s="6">
        <v>97</v>
      </c>
      <c r="C325" s="6">
        <v>97</v>
      </c>
      <c r="D325" s="45" t="s">
        <v>1502</v>
      </c>
      <c r="E325" s="45" t="s">
        <v>1503</v>
      </c>
      <c r="F325" s="6" t="str">
        <f>"356430073910134"</f>
        <v>356430073910134</v>
      </c>
      <c r="G325" s="6" t="s">
        <v>418</v>
      </c>
      <c r="H325" s="6" t="str">
        <f>MID(F325,6,9)</f>
        <v>007391013</v>
      </c>
      <c r="I325" s="45" t="s">
        <v>1644</v>
      </c>
      <c r="J325" s="6" t="s">
        <v>572</v>
      </c>
      <c r="K325" s="6" t="s">
        <v>417</v>
      </c>
      <c r="L325" s="33" t="s">
        <v>573</v>
      </c>
      <c r="M325" s="33" t="s">
        <v>573</v>
      </c>
      <c r="N325" s="6" t="s">
        <v>1662</v>
      </c>
      <c r="P325" s="6">
        <v>2</v>
      </c>
      <c r="Q325" s="5"/>
      <c r="R325" s="5"/>
      <c r="S325" s="5"/>
    </row>
    <row r="326" spans="2:19" ht="16.5" customHeight="1" x14ac:dyDescent="0.2">
      <c r="B326" s="6">
        <v>95</v>
      </c>
      <c r="C326" s="6">
        <v>95</v>
      </c>
      <c r="D326" s="45" t="s">
        <v>1504</v>
      </c>
      <c r="E326" s="45" t="s">
        <v>1505</v>
      </c>
      <c r="F326" s="6" t="str">
        <f>"356430073910142"</f>
        <v>356430073910142</v>
      </c>
      <c r="G326" s="6" t="s">
        <v>419</v>
      </c>
      <c r="H326" s="6" t="str">
        <f>MID(F326,6,9)</f>
        <v>007391014</v>
      </c>
      <c r="I326" s="45" t="s">
        <v>1645</v>
      </c>
      <c r="J326" s="6" t="s">
        <v>572</v>
      </c>
      <c r="K326" s="6" t="s">
        <v>417</v>
      </c>
      <c r="L326" s="33" t="s">
        <v>573</v>
      </c>
      <c r="M326" s="33" t="s">
        <v>573</v>
      </c>
      <c r="N326" s="6" t="s">
        <v>1662</v>
      </c>
      <c r="P326" s="6">
        <v>2</v>
      </c>
      <c r="Q326" s="5"/>
      <c r="R326" s="5"/>
      <c r="S326" s="5"/>
    </row>
    <row r="327" spans="2:19" ht="16.5" customHeight="1" x14ac:dyDescent="0.2">
      <c r="B327" s="6">
        <v>287</v>
      </c>
      <c r="C327" s="6">
        <v>87</v>
      </c>
      <c r="D327" s="33" t="s">
        <v>1270</v>
      </c>
      <c r="E327" s="6" t="s">
        <v>915</v>
      </c>
      <c r="F327" s="33" t="s">
        <v>1655</v>
      </c>
      <c r="G327" s="9" t="s">
        <v>1654</v>
      </c>
      <c r="H327" s="33" t="s">
        <v>1655</v>
      </c>
      <c r="I327" s="33" t="s">
        <v>1655</v>
      </c>
      <c r="J327" s="33" t="s">
        <v>1656</v>
      </c>
      <c r="K327" s="5" t="s">
        <v>448</v>
      </c>
      <c r="L327" s="6" t="s">
        <v>514</v>
      </c>
      <c r="M327" s="6" t="s">
        <v>582</v>
      </c>
      <c r="N327" s="49" t="s">
        <v>1663</v>
      </c>
      <c r="O327" s="49"/>
      <c r="P327" s="6"/>
      <c r="Q327" s="5"/>
      <c r="R327" s="5"/>
      <c r="S327" s="5"/>
    </row>
    <row r="328" spans="2:19" ht="16.5" customHeight="1" x14ac:dyDescent="0.2">
      <c r="B328" s="6">
        <v>562</v>
      </c>
      <c r="D328" s="33" t="s">
        <v>2040</v>
      </c>
      <c r="E328" s="6" t="s">
        <v>472</v>
      </c>
      <c r="F328" s="33" t="s">
        <v>2097</v>
      </c>
      <c r="G328" s="37" t="s">
        <v>2096</v>
      </c>
      <c r="H328" s="33" t="s">
        <v>2097</v>
      </c>
      <c r="I328" s="33" t="s">
        <v>2097</v>
      </c>
      <c r="J328" s="5" t="s">
        <v>2098</v>
      </c>
      <c r="K328" s="6" t="s">
        <v>2085</v>
      </c>
      <c r="L328" s="6" t="s">
        <v>2086</v>
      </c>
      <c r="M328" s="49" t="s">
        <v>1724</v>
      </c>
      <c r="N328" s="6" t="s">
        <v>2038</v>
      </c>
      <c r="O328" s="6" t="s">
        <v>2515</v>
      </c>
      <c r="Q328" s="5"/>
      <c r="R328" s="5"/>
      <c r="S328" s="5"/>
    </row>
    <row r="329" spans="2:19" ht="16.5" customHeight="1" x14ac:dyDescent="0.2">
      <c r="B329" s="6">
        <v>561</v>
      </c>
      <c r="D329" s="33" t="s">
        <v>2040</v>
      </c>
      <c r="E329" s="6" t="s">
        <v>472</v>
      </c>
      <c r="F329" s="37" t="s">
        <v>2078</v>
      </c>
      <c r="G329" s="44" t="s">
        <v>2082</v>
      </c>
      <c r="H329" s="37" t="s">
        <v>2078</v>
      </c>
      <c r="I329" s="37" t="s">
        <v>2078</v>
      </c>
      <c r="J329" s="6" t="s">
        <v>826</v>
      </c>
      <c r="K329" s="6" t="s">
        <v>2083</v>
      </c>
      <c r="L329" s="6" t="s">
        <v>2084</v>
      </c>
      <c r="M329" s="6" t="s">
        <v>1724</v>
      </c>
      <c r="N329" s="6" t="s">
        <v>2038</v>
      </c>
      <c r="O329" s="43">
        <v>44946</v>
      </c>
      <c r="Q329" s="5"/>
      <c r="R329" s="5"/>
      <c r="S329" s="5"/>
    </row>
    <row r="330" spans="2:19" ht="16.5" customHeight="1" x14ac:dyDescent="0.2">
      <c r="B330" s="6">
        <v>559</v>
      </c>
      <c r="D330" s="33" t="s">
        <v>2040</v>
      </c>
      <c r="E330" s="6" t="s">
        <v>472</v>
      </c>
      <c r="F330" s="37" t="s">
        <v>2076</v>
      </c>
      <c r="G330" s="44" t="s">
        <v>2080</v>
      </c>
      <c r="H330" s="37" t="s">
        <v>2076</v>
      </c>
      <c r="I330" s="37" t="s">
        <v>2076</v>
      </c>
      <c r="J330" s="6" t="s">
        <v>826</v>
      </c>
      <c r="K330" s="6" t="s">
        <v>2083</v>
      </c>
      <c r="L330" s="6" t="s">
        <v>2084</v>
      </c>
      <c r="M330" s="6" t="s">
        <v>1724</v>
      </c>
      <c r="N330" s="6" t="s">
        <v>2038</v>
      </c>
      <c r="O330" s="43">
        <v>44958</v>
      </c>
      <c r="Q330" s="5"/>
      <c r="R330" s="5"/>
      <c r="S330" s="5"/>
    </row>
    <row r="331" spans="2:19" ht="16.5" customHeight="1" x14ac:dyDescent="0.2">
      <c r="B331" s="6">
        <v>560</v>
      </c>
      <c r="D331" s="33" t="s">
        <v>2040</v>
      </c>
      <c r="E331" s="6" t="s">
        <v>472</v>
      </c>
      <c r="F331" s="37" t="s">
        <v>2077</v>
      </c>
      <c r="G331" s="44" t="s">
        <v>2081</v>
      </c>
      <c r="H331" s="37" t="s">
        <v>2077</v>
      </c>
      <c r="I331" s="37" t="s">
        <v>2077</v>
      </c>
      <c r="J331" s="6" t="s">
        <v>826</v>
      </c>
      <c r="K331" s="6" t="s">
        <v>2083</v>
      </c>
      <c r="L331" s="6" t="s">
        <v>2084</v>
      </c>
      <c r="M331" s="6" t="s">
        <v>1724</v>
      </c>
      <c r="N331" s="6" t="s">
        <v>2038</v>
      </c>
      <c r="O331" s="43">
        <v>44958</v>
      </c>
      <c r="Q331" s="5"/>
      <c r="R331" s="5"/>
      <c r="S331" s="5"/>
    </row>
    <row r="332" spans="2:19" ht="16.5" customHeight="1" x14ac:dyDescent="0.2">
      <c r="B332" s="6">
        <v>546</v>
      </c>
      <c r="D332" s="33" t="s">
        <v>2040</v>
      </c>
      <c r="E332" s="6" t="s">
        <v>472</v>
      </c>
      <c r="F332" s="41" t="s">
        <v>2041</v>
      </c>
      <c r="G332" s="37" t="s">
        <v>2049</v>
      </c>
      <c r="H332" s="41" t="s">
        <v>2041</v>
      </c>
      <c r="I332" s="41" t="s">
        <v>2041</v>
      </c>
      <c r="J332" s="6" t="s">
        <v>1700</v>
      </c>
      <c r="K332" s="6" t="s">
        <v>2057</v>
      </c>
      <c r="L332" s="6" t="s">
        <v>2059</v>
      </c>
      <c r="M332" s="6" t="s">
        <v>1724</v>
      </c>
      <c r="N332" s="6" t="s">
        <v>2038</v>
      </c>
      <c r="O332" s="43">
        <v>44747</v>
      </c>
      <c r="P332" s="6"/>
      <c r="Q332" s="5"/>
      <c r="R332" s="5"/>
      <c r="S332" s="5"/>
    </row>
    <row r="333" spans="2:19" ht="16.5" customHeight="1" x14ac:dyDescent="0.2">
      <c r="B333" s="6">
        <v>295</v>
      </c>
      <c r="C333" s="6">
        <v>95</v>
      </c>
      <c r="D333" s="33" t="s">
        <v>1691</v>
      </c>
      <c r="E333" s="6" t="s">
        <v>915</v>
      </c>
      <c r="F333" s="33" t="s">
        <v>1699</v>
      </c>
      <c r="G333" s="9" t="s">
        <v>1698</v>
      </c>
      <c r="H333" s="33" t="s">
        <v>1699</v>
      </c>
      <c r="I333" s="33" t="s">
        <v>1699</v>
      </c>
      <c r="J333" s="6" t="s">
        <v>1700</v>
      </c>
      <c r="K333" s="6" t="s">
        <v>327</v>
      </c>
      <c r="L333" s="6" t="s">
        <v>514</v>
      </c>
      <c r="M333" s="49" t="s">
        <v>469</v>
      </c>
      <c r="N333" s="6" t="s">
        <v>1663</v>
      </c>
      <c r="P333" s="6"/>
      <c r="Q333" s="5"/>
      <c r="R333" s="5"/>
      <c r="S333" s="5"/>
    </row>
    <row r="334" spans="2:19" ht="16.5" customHeight="1" x14ac:dyDescent="0.2">
      <c r="B334" s="6">
        <v>478</v>
      </c>
      <c r="C334" s="6">
        <v>278</v>
      </c>
      <c r="D334" s="33" t="s">
        <v>2441</v>
      </c>
      <c r="E334" s="6"/>
      <c r="F334" s="45" t="s">
        <v>2674</v>
      </c>
      <c r="G334" s="37" t="s">
        <v>2673</v>
      </c>
      <c r="H334" s="33" t="s">
        <v>2674</v>
      </c>
      <c r="I334" s="33" t="s">
        <v>2674</v>
      </c>
      <c r="J334" s="6" t="s">
        <v>1700</v>
      </c>
      <c r="K334" s="6" t="s">
        <v>123</v>
      </c>
      <c r="L334" s="6" t="s">
        <v>541</v>
      </c>
      <c r="M334" s="6" t="s">
        <v>469</v>
      </c>
      <c r="N334" s="49" t="s">
        <v>1663</v>
      </c>
      <c r="O334" s="43"/>
      <c r="P334" s="6"/>
      <c r="Q334" s="5"/>
      <c r="R334" s="5"/>
      <c r="S334" s="5"/>
    </row>
    <row r="335" spans="2:19" ht="16.5" customHeight="1" x14ac:dyDescent="0.2">
      <c r="B335" s="6">
        <v>558</v>
      </c>
      <c r="D335" s="33" t="s">
        <v>2040</v>
      </c>
      <c r="E335" s="6" t="s">
        <v>472</v>
      </c>
      <c r="F335" s="37" t="s">
        <v>2075</v>
      </c>
      <c r="G335" s="44" t="s">
        <v>2079</v>
      </c>
      <c r="H335" s="37" t="s">
        <v>2075</v>
      </c>
      <c r="I335" s="37" t="s">
        <v>2075</v>
      </c>
      <c r="J335" s="6" t="s">
        <v>1700</v>
      </c>
      <c r="K335" s="6" t="s">
        <v>2083</v>
      </c>
      <c r="L335" s="6" t="s">
        <v>2084</v>
      </c>
      <c r="M335" s="6" t="s">
        <v>1724</v>
      </c>
      <c r="N335" s="6" t="s">
        <v>2038</v>
      </c>
      <c r="O335" s="43">
        <v>44946</v>
      </c>
      <c r="Q335" s="5"/>
      <c r="R335" s="5"/>
      <c r="S335" s="5"/>
    </row>
    <row r="336" spans="2:19" ht="16.5" customHeight="1" x14ac:dyDescent="0.2">
      <c r="B336" s="6">
        <v>449</v>
      </c>
      <c r="C336" s="6">
        <v>249</v>
      </c>
      <c r="D336" s="33" t="s">
        <v>2384</v>
      </c>
      <c r="E336" s="6"/>
      <c r="F336" s="45" t="s">
        <v>2645</v>
      </c>
      <c r="G336" s="9" t="s">
        <v>2644</v>
      </c>
      <c r="H336" s="33" t="s">
        <v>2645</v>
      </c>
      <c r="I336" s="33" t="s">
        <v>2645</v>
      </c>
      <c r="J336" s="6" t="s">
        <v>1700</v>
      </c>
      <c r="K336" s="6" t="s">
        <v>1781</v>
      </c>
      <c r="L336" s="6" t="s">
        <v>514</v>
      </c>
      <c r="M336" s="6" t="s">
        <v>469</v>
      </c>
      <c r="N336" s="49" t="s">
        <v>1663</v>
      </c>
      <c r="O336" s="43"/>
      <c r="P336" s="6"/>
      <c r="Q336" s="5"/>
      <c r="R336" s="5"/>
      <c r="S336" s="5"/>
    </row>
    <row r="337" spans="2:19" ht="16.5" customHeight="1" x14ac:dyDescent="0.2">
      <c r="B337" s="6">
        <f>800+Tabla3[[#This Row],[interno]]</f>
        <v>807</v>
      </c>
      <c r="C337" s="6">
        <v>7</v>
      </c>
      <c r="D337" s="33" t="s">
        <v>2106</v>
      </c>
      <c r="E337" s="6"/>
      <c r="F337" s="33" t="s">
        <v>2105</v>
      </c>
      <c r="G337" s="37" t="s">
        <v>1963</v>
      </c>
      <c r="H337" s="33" t="s">
        <v>2105</v>
      </c>
      <c r="I337" s="33" t="s">
        <v>2105</v>
      </c>
      <c r="J337" s="6" t="s">
        <v>1700</v>
      </c>
      <c r="K337" s="6" t="s">
        <v>1781</v>
      </c>
      <c r="L337" s="6" t="s">
        <v>514</v>
      </c>
      <c r="M337" s="6" t="s">
        <v>469</v>
      </c>
      <c r="N337" s="6" t="s">
        <v>1668</v>
      </c>
      <c r="O337" s="43"/>
      <c r="P337" s="6">
        <v>2</v>
      </c>
      <c r="Q337" s="5">
        <v>50</v>
      </c>
      <c r="R337" s="5"/>
      <c r="S337" s="5"/>
    </row>
    <row r="338" spans="2:19" ht="16.5" customHeight="1" x14ac:dyDescent="0.2">
      <c r="B338" s="6">
        <v>527</v>
      </c>
      <c r="C338" s="6">
        <v>327</v>
      </c>
      <c r="D338" s="33" t="s">
        <v>2610</v>
      </c>
      <c r="E338" s="6"/>
      <c r="F338" s="45" t="s">
        <v>2693</v>
      </c>
      <c r="G338" s="9" t="s">
        <v>2692</v>
      </c>
      <c r="H338" s="33" t="s">
        <v>2693</v>
      </c>
      <c r="I338" s="33" t="s">
        <v>2694</v>
      </c>
      <c r="J338" s="6" t="s">
        <v>2568</v>
      </c>
      <c r="K338" s="6" t="s">
        <v>2569</v>
      </c>
      <c r="L338" s="6" t="s">
        <v>514</v>
      </c>
      <c r="M338" s="6" t="s">
        <v>469</v>
      </c>
      <c r="N338" s="49" t="s">
        <v>1663</v>
      </c>
      <c r="O338" s="43"/>
      <c r="P338" s="6"/>
      <c r="Q338" s="5"/>
      <c r="R338" s="5"/>
      <c r="S338" s="5"/>
    </row>
    <row r="339" spans="2:19" ht="16.5" customHeight="1" x14ac:dyDescent="0.2">
      <c r="B339" s="6">
        <v>551</v>
      </c>
      <c r="C339" s="6">
        <v>351</v>
      </c>
      <c r="D339" s="33" t="s">
        <v>2740</v>
      </c>
      <c r="E339" s="6"/>
      <c r="F339" s="45" t="s">
        <v>2750</v>
      </c>
      <c r="G339" s="9" t="s">
        <v>2751</v>
      </c>
      <c r="H339" s="33" t="s">
        <v>2750</v>
      </c>
      <c r="I339" s="33" t="s">
        <v>2750</v>
      </c>
      <c r="J339" s="6" t="s">
        <v>1700</v>
      </c>
      <c r="K339" s="6" t="s">
        <v>2707</v>
      </c>
      <c r="L339" s="6" t="s">
        <v>514</v>
      </c>
      <c r="M339" s="6" t="s">
        <v>469</v>
      </c>
      <c r="N339" s="49" t="s">
        <v>1663</v>
      </c>
      <c r="O339" s="43"/>
      <c r="P339" s="6"/>
      <c r="Q339" s="5"/>
      <c r="R339" s="5"/>
      <c r="S339" s="5"/>
    </row>
    <row r="340" spans="2:19" ht="16.5" customHeight="1" x14ac:dyDescent="0.2">
      <c r="B340" s="6">
        <v>499</v>
      </c>
      <c r="C340" s="6">
        <v>299</v>
      </c>
      <c r="D340" s="33" t="s">
        <v>2535</v>
      </c>
      <c r="E340" s="6"/>
      <c r="F340" s="45" t="s">
        <v>2567</v>
      </c>
      <c r="G340" s="37" t="s">
        <v>2650</v>
      </c>
      <c r="H340" s="45" t="s">
        <v>2567</v>
      </c>
      <c r="I340" s="45" t="s">
        <v>2567</v>
      </c>
      <c r="J340" s="6" t="s">
        <v>2568</v>
      </c>
      <c r="K340" s="6" t="s">
        <v>2569</v>
      </c>
      <c r="L340" s="6" t="s">
        <v>514</v>
      </c>
      <c r="M340" s="6" t="s">
        <v>469</v>
      </c>
      <c r="N340" s="49" t="s">
        <v>1663</v>
      </c>
      <c r="O340" s="43"/>
      <c r="P340" s="6"/>
      <c r="Q340" s="5"/>
      <c r="R340" s="5"/>
      <c r="S340" s="5"/>
    </row>
    <row r="341" spans="2:19" ht="16.5" customHeight="1" x14ac:dyDescent="0.2">
      <c r="B341" s="6">
        <v>500</v>
      </c>
      <c r="C341" s="6">
        <v>300</v>
      </c>
      <c r="D341" s="33" t="s">
        <v>2536</v>
      </c>
      <c r="E341" s="6"/>
      <c r="F341" s="45" t="s">
        <v>2570</v>
      </c>
      <c r="G341" s="37" t="s">
        <v>2649</v>
      </c>
      <c r="H341" s="33" t="s">
        <v>2570</v>
      </c>
      <c r="I341" s="33" t="s">
        <v>2570</v>
      </c>
      <c r="J341" s="6" t="s">
        <v>2568</v>
      </c>
      <c r="K341" s="6" t="s">
        <v>2569</v>
      </c>
      <c r="L341" s="6" t="s">
        <v>514</v>
      </c>
      <c r="M341" s="6" t="s">
        <v>469</v>
      </c>
      <c r="N341" s="49" t="s">
        <v>1663</v>
      </c>
      <c r="O341" s="43"/>
      <c r="P341" s="6"/>
      <c r="Q341" s="5"/>
      <c r="R341" s="5"/>
      <c r="S341" s="5"/>
    </row>
    <row r="342" spans="2:19" ht="16.5" customHeight="1" x14ac:dyDescent="0.2">
      <c r="B342" s="6">
        <v>501</v>
      </c>
      <c r="C342" s="6">
        <v>301</v>
      </c>
      <c r="D342" s="33" t="s">
        <v>2537</v>
      </c>
      <c r="E342" s="6"/>
      <c r="F342" s="45" t="s">
        <v>2571</v>
      </c>
      <c r="G342" s="37" t="s">
        <v>2648</v>
      </c>
      <c r="H342" s="33" t="s">
        <v>2571</v>
      </c>
      <c r="I342" s="33" t="s">
        <v>2571</v>
      </c>
      <c r="J342" s="6" t="s">
        <v>2568</v>
      </c>
      <c r="K342" s="6" t="s">
        <v>2569</v>
      </c>
      <c r="L342" s="6" t="s">
        <v>514</v>
      </c>
      <c r="M342" s="6" t="s">
        <v>469</v>
      </c>
      <c r="N342" s="49" t="s">
        <v>1663</v>
      </c>
      <c r="O342" s="43"/>
      <c r="P342" s="6"/>
      <c r="Q342" s="5"/>
      <c r="R342" s="5"/>
      <c r="S342" s="5"/>
    </row>
    <row r="343" spans="2:19" ht="16.5" customHeight="1" x14ac:dyDescent="0.2">
      <c r="B343" s="6">
        <v>309</v>
      </c>
      <c r="C343" s="6">
        <v>109</v>
      </c>
      <c r="D343" s="33" t="s">
        <v>1733</v>
      </c>
      <c r="E343" s="6" t="s">
        <v>915</v>
      </c>
      <c r="F343" s="33" t="s">
        <v>2790</v>
      </c>
      <c r="G343" s="9" t="s">
        <v>2791</v>
      </c>
      <c r="H343" s="33" t="s">
        <v>2790</v>
      </c>
      <c r="I343" s="33" t="s">
        <v>2790</v>
      </c>
      <c r="J343" s="5" t="s">
        <v>2792</v>
      </c>
      <c r="K343" s="6" t="s">
        <v>2702</v>
      </c>
      <c r="L343" s="6" t="s">
        <v>514</v>
      </c>
      <c r="M343" s="49" t="s">
        <v>469</v>
      </c>
      <c r="N343" s="6" t="s">
        <v>1663</v>
      </c>
      <c r="P343" s="6"/>
      <c r="Q343" s="5"/>
      <c r="R343" s="5"/>
      <c r="S343" s="5"/>
    </row>
    <row r="344" spans="2:19" ht="16.5" customHeight="1" x14ac:dyDescent="0.2">
      <c r="B344" s="6">
        <f>600+Tabla3[[#This Row],[interno]]</f>
        <v>613</v>
      </c>
      <c r="C344" s="6">
        <v>13</v>
      </c>
      <c r="D344" s="80">
        <v>3331156757</v>
      </c>
      <c r="E344" s="47" t="s">
        <v>657</v>
      </c>
      <c r="F344" s="5" t="s">
        <v>677</v>
      </c>
      <c r="G344" s="5" t="s">
        <v>676</v>
      </c>
      <c r="H344" s="5" t="s">
        <v>677</v>
      </c>
      <c r="I344" s="50" t="s">
        <v>677</v>
      </c>
      <c r="J344" s="5" t="s">
        <v>678</v>
      </c>
      <c r="K344" s="5" t="s">
        <v>658</v>
      </c>
      <c r="L344" s="6" t="s">
        <v>514</v>
      </c>
      <c r="M344" s="49" t="s">
        <v>582</v>
      </c>
      <c r="N344" s="49" t="s">
        <v>1665</v>
      </c>
      <c r="O344" s="49"/>
      <c r="P344" s="6">
        <v>1</v>
      </c>
      <c r="Q344" s="5"/>
      <c r="R344" s="5"/>
      <c r="S344" s="5"/>
    </row>
    <row r="345" spans="2:19" ht="16.5" customHeight="1" x14ac:dyDescent="0.2">
      <c r="B345" s="6">
        <v>545</v>
      </c>
      <c r="D345" s="33" t="s">
        <v>2040</v>
      </c>
      <c r="E345" s="6" t="s">
        <v>472</v>
      </c>
      <c r="F345" s="33" t="s">
        <v>2035</v>
      </c>
      <c r="G345" s="9" t="s">
        <v>2037</v>
      </c>
      <c r="H345" s="33" t="s">
        <v>2035</v>
      </c>
      <c r="I345" s="33" t="s">
        <v>2035</v>
      </c>
      <c r="J345" s="6" t="s">
        <v>1941</v>
      </c>
      <c r="K345" s="6" t="s">
        <v>2039</v>
      </c>
      <c r="L345" s="6" t="s">
        <v>2033</v>
      </c>
      <c r="M345" s="6" t="s">
        <v>1724</v>
      </c>
      <c r="N345" s="6" t="s">
        <v>2038</v>
      </c>
      <c r="O345" s="43">
        <v>44658</v>
      </c>
      <c r="P345" s="6"/>
      <c r="Q345" s="5"/>
      <c r="R345" s="5"/>
      <c r="S345" s="5"/>
    </row>
    <row r="346" spans="2:19" ht="16.5" customHeight="1" x14ac:dyDescent="0.2">
      <c r="B346" s="6">
        <v>333</v>
      </c>
      <c r="C346" s="6">
        <v>133</v>
      </c>
      <c r="D346" s="33" t="s">
        <v>1796</v>
      </c>
      <c r="E346" s="6" t="s">
        <v>915</v>
      </c>
      <c r="F346" s="33" t="s">
        <v>2090</v>
      </c>
      <c r="G346" s="37" t="s">
        <v>2089</v>
      </c>
      <c r="H346" s="33" t="s">
        <v>2090</v>
      </c>
      <c r="I346" s="33" t="s">
        <v>2090</v>
      </c>
      <c r="J346" s="6" t="s">
        <v>1941</v>
      </c>
      <c r="K346" s="6" t="s">
        <v>2085</v>
      </c>
      <c r="L346" s="6" t="s">
        <v>2086</v>
      </c>
      <c r="M346" s="49" t="s">
        <v>1724</v>
      </c>
      <c r="N346" s="6" t="s">
        <v>1663</v>
      </c>
      <c r="O346" s="6" t="s">
        <v>2515</v>
      </c>
      <c r="P346" s="6"/>
      <c r="Q346" s="5"/>
      <c r="R346" s="5"/>
      <c r="S346" s="5"/>
    </row>
    <row r="347" spans="2:19" ht="16.5" customHeight="1" x14ac:dyDescent="0.2">
      <c r="B347" s="6">
        <v>303</v>
      </c>
      <c r="C347" s="6">
        <v>103</v>
      </c>
      <c r="D347" s="33" t="s">
        <v>1718</v>
      </c>
      <c r="E347" s="6" t="s">
        <v>915</v>
      </c>
      <c r="F347" s="33" t="s">
        <v>1801</v>
      </c>
      <c r="G347" s="37" t="s">
        <v>2088</v>
      </c>
      <c r="H347" s="33" t="s">
        <v>1801</v>
      </c>
      <c r="I347" s="33" t="s">
        <v>1801</v>
      </c>
      <c r="J347" s="6" t="s">
        <v>1941</v>
      </c>
      <c r="K347" s="6" t="s">
        <v>2085</v>
      </c>
      <c r="L347" s="6" t="s">
        <v>2086</v>
      </c>
      <c r="M347" s="49" t="s">
        <v>1724</v>
      </c>
      <c r="N347" s="6" t="s">
        <v>1663</v>
      </c>
      <c r="O347" s="6" t="s">
        <v>2515</v>
      </c>
      <c r="P347" s="6"/>
      <c r="Q347" s="5"/>
      <c r="R347" s="5"/>
      <c r="S347" s="5"/>
    </row>
    <row r="348" spans="2:19" ht="16.5" customHeight="1" x14ac:dyDescent="0.2">
      <c r="B348" s="6">
        <v>302</v>
      </c>
      <c r="C348" s="6">
        <v>102</v>
      </c>
      <c r="D348" s="33" t="s">
        <v>1717</v>
      </c>
      <c r="E348" s="6" t="s">
        <v>915</v>
      </c>
      <c r="F348" s="33" t="s">
        <v>1800</v>
      </c>
      <c r="G348" s="61" t="s">
        <v>2087</v>
      </c>
      <c r="H348" s="33" t="s">
        <v>1800</v>
      </c>
      <c r="I348" s="33" t="s">
        <v>1800</v>
      </c>
      <c r="J348" s="6" t="s">
        <v>1941</v>
      </c>
      <c r="K348" s="6" t="s">
        <v>2085</v>
      </c>
      <c r="L348" s="6" t="s">
        <v>2086</v>
      </c>
      <c r="M348" s="49" t="s">
        <v>1724</v>
      </c>
      <c r="N348" s="6" t="s">
        <v>1663</v>
      </c>
      <c r="O348" s="43">
        <v>44709</v>
      </c>
      <c r="P348" s="6"/>
      <c r="Q348" s="5"/>
      <c r="R348" s="5"/>
      <c r="S348" s="5"/>
    </row>
    <row r="349" spans="2:19" ht="16.5" customHeight="1" x14ac:dyDescent="0.2">
      <c r="B349" s="6">
        <v>340</v>
      </c>
      <c r="C349" s="6">
        <v>140</v>
      </c>
      <c r="D349" s="33" t="s">
        <v>1913</v>
      </c>
      <c r="E349" s="6" t="s">
        <v>915</v>
      </c>
      <c r="F349" s="33" t="s">
        <v>2093</v>
      </c>
      <c r="G349" s="37" t="s">
        <v>2095</v>
      </c>
      <c r="H349" s="33" t="s">
        <v>2093</v>
      </c>
      <c r="I349" s="33" t="s">
        <v>2093</v>
      </c>
      <c r="J349" s="6" t="s">
        <v>1941</v>
      </c>
      <c r="K349" s="6" t="s">
        <v>2085</v>
      </c>
      <c r="L349" s="6" t="s">
        <v>2086</v>
      </c>
      <c r="M349" s="49" t="s">
        <v>1724</v>
      </c>
      <c r="N349" s="6" t="s">
        <v>1663</v>
      </c>
      <c r="O349" s="6" t="s">
        <v>2515</v>
      </c>
      <c r="P349" s="6"/>
      <c r="Q349" s="5"/>
      <c r="R349" s="5"/>
      <c r="S349" s="5"/>
    </row>
    <row r="350" spans="2:19" ht="16.5" customHeight="1" x14ac:dyDescent="0.2">
      <c r="B350" s="6">
        <v>544</v>
      </c>
      <c r="D350" s="33" t="s">
        <v>2040</v>
      </c>
      <c r="E350" s="6" t="s">
        <v>472</v>
      </c>
      <c r="F350" s="33" t="s">
        <v>2034</v>
      </c>
      <c r="G350" s="9" t="s">
        <v>2036</v>
      </c>
      <c r="H350" s="33" t="s">
        <v>2034</v>
      </c>
      <c r="I350" s="33" t="s">
        <v>2034</v>
      </c>
      <c r="J350" s="6" t="s">
        <v>1941</v>
      </c>
      <c r="K350" s="6" t="s">
        <v>2039</v>
      </c>
      <c r="L350" s="6" t="s">
        <v>2033</v>
      </c>
      <c r="M350" s="6" t="s">
        <v>1724</v>
      </c>
      <c r="N350" s="6" t="s">
        <v>2038</v>
      </c>
      <c r="O350" s="43">
        <v>44842</v>
      </c>
      <c r="P350" s="6"/>
      <c r="Q350" s="5"/>
      <c r="R350" s="5"/>
      <c r="S350" s="5"/>
    </row>
    <row r="351" spans="2:19" ht="16.5" customHeight="1" x14ac:dyDescent="0.2">
      <c r="B351" s="6">
        <v>341</v>
      </c>
      <c r="C351" s="6">
        <v>141</v>
      </c>
      <c r="D351" s="33" t="s">
        <v>1914</v>
      </c>
      <c r="E351" s="6" t="s">
        <v>915</v>
      </c>
      <c r="F351" s="33" t="s">
        <v>2094</v>
      </c>
      <c r="G351" s="61" t="s">
        <v>2096</v>
      </c>
      <c r="H351" s="33" t="s">
        <v>2094</v>
      </c>
      <c r="I351" s="33" t="s">
        <v>2094</v>
      </c>
      <c r="J351" s="6" t="s">
        <v>1941</v>
      </c>
      <c r="K351" s="6" t="s">
        <v>2085</v>
      </c>
      <c r="L351" s="6" t="s">
        <v>2086</v>
      </c>
      <c r="M351" s="49" t="s">
        <v>1724</v>
      </c>
      <c r="N351" s="6" t="s">
        <v>1663</v>
      </c>
      <c r="O351" s="43">
        <v>44709</v>
      </c>
      <c r="P351" s="6"/>
      <c r="Q351" s="5"/>
      <c r="R351" s="5"/>
      <c r="S351" s="5"/>
    </row>
    <row r="352" spans="2:19" ht="16.5" customHeight="1" x14ac:dyDescent="0.2">
      <c r="B352" s="6">
        <v>332</v>
      </c>
      <c r="C352" s="6">
        <v>132</v>
      </c>
      <c r="D352" s="33" t="s">
        <v>1795</v>
      </c>
      <c r="E352" s="6" t="s">
        <v>915</v>
      </c>
      <c r="F352" s="33" t="s">
        <v>2091</v>
      </c>
      <c r="G352" s="37" t="s">
        <v>2092</v>
      </c>
      <c r="H352" s="33" t="s">
        <v>2091</v>
      </c>
      <c r="I352" s="33" t="s">
        <v>2091</v>
      </c>
      <c r="J352" s="6" t="s">
        <v>1941</v>
      </c>
      <c r="K352" s="6" t="s">
        <v>2085</v>
      </c>
      <c r="L352" s="6" t="s">
        <v>2086</v>
      </c>
      <c r="M352" s="49" t="s">
        <v>1724</v>
      </c>
      <c r="N352" s="6" t="s">
        <v>1663</v>
      </c>
      <c r="O352" s="6" t="s">
        <v>2515</v>
      </c>
      <c r="P352" s="6"/>
      <c r="Q352" s="5"/>
      <c r="R352" s="5"/>
      <c r="S352" s="5"/>
    </row>
    <row r="353" spans="2:19" ht="16.5" customHeight="1" x14ac:dyDescent="0.2">
      <c r="B353" s="6">
        <v>350</v>
      </c>
      <c r="C353" s="6">
        <v>150</v>
      </c>
      <c r="D353" s="33" t="s">
        <v>1924</v>
      </c>
      <c r="E353" s="74" t="s">
        <v>915</v>
      </c>
      <c r="F353" s="77" t="s">
        <v>2003</v>
      </c>
      <c r="G353" s="78" t="s">
        <v>2002</v>
      </c>
      <c r="H353" s="33" t="s">
        <v>2003</v>
      </c>
      <c r="I353" s="33" t="s">
        <v>2003</v>
      </c>
      <c r="J353" s="5" t="s">
        <v>1941</v>
      </c>
      <c r="K353" s="6" t="s">
        <v>1975</v>
      </c>
      <c r="L353" s="6" t="s">
        <v>514</v>
      </c>
      <c r="M353" s="49" t="s">
        <v>469</v>
      </c>
      <c r="N353" s="6" t="s">
        <v>1663</v>
      </c>
      <c r="O353" s="76" t="s">
        <v>2515</v>
      </c>
      <c r="P353" s="6"/>
      <c r="Q353" s="5"/>
      <c r="R353" s="5"/>
      <c r="S353" s="5"/>
    </row>
    <row r="354" spans="2:19" ht="16.5" customHeight="1" x14ac:dyDescent="0.2">
      <c r="B354" s="6">
        <v>550</v>
      </c>
      <c r="C354" s="6">
        <v>350</v>
      </c>
      <c r="D354" s="33" t="s">
        <v>2739</v>
      </c>
      <c r="E354" s="6"/>
      <c r="F354" s="45" t="s">
        <v>2748</v>
      </c>
      <c r="G354" s="9" t="s">
        <v>2747</v>
      </c>
      <c r="H354" s="33" t="s">
        <v>2748</v>
      </c>
      <c r="I354" s="33" t="s">
        <v>2748</v>
      </c>
      <c r="J354" s="6" t="s">
        <v>2749</v>
      </c>
      <c r="K354" s="6" t="s">
        <v>2707</v>
      </c>
      <c r="L354" s="6" t="s">
        <v>514</v>
      </c>
      <c r="M354" s="6" t="s">
        <v>469</v>
      </c>
      <c r="N354" s="49" t="s">
        <v>1663</v>
      </c>
      <c r="O354" s="43"/>
      <c r="P354" s="6"/>
      <c r="Q354" s="5"/>
      <c r="R354" s="5"/>
      <c r="S354" s="5"/>
    </row>
    <row r="355" spans="2:19" ht="16.5" customHeight="1" x14ac:dyDescent="0.2">
      <c r="B355" s="6">
        <v>50</v>
      </c>
      <c r="C355" s="6">
        <v>50</v>
      </c>
      <c r="D355" s="45" t="s">
        <v>1413</v>
      </c>
      <c r="E355" s="45" t="s">
        <v>1414</v>
      </c>
      <c r="F355" s="5" t="s">
        <v>220</v>
      </c>
      <c r="G355" s="5" t="s">
        <v>33</v>
      </c>
      <c r="H355" s="5" t="s">
        <v>220</v>
      </c>
      <c r="I355" s="45" t="s">
        <v>220</v>
      </c>
      <c r="J355" s="5" t="s">
        <v>219</v>
      </c>
      <c r="K355" s="5" t="s">
        <v>218</v>
      </c>
      <c r="L355" s="6" t="s">
        <v>514</v>
      </c>
      <c r="M355" s="6" t="s">
        <v>469</v>
      </c>
      <c r="N355" s="6" t="s">
        <v>1662</v>
      </c>
      <c r="P355" s="6">
        <v>1</v>
      </c>
      <c r="Q355" s="5"/>
      <c r="R355" s="5"/>
      <c r="S355" s="5"/>
    </row>
    <row r="356" spans="2:19" ht="16.5" customHeight="1" x14ac:dyDescent="0.2">
      <c r="B356" s="6">
        <v>147</v>
      </c>
      <c r="C356" s="6">
        <v>147</v>
      </c>
      <c r="D356" s="45" t="s">
        <v>1562</v>
      </c>
      <c r="E356" s="45" t="s">
        <v>1563</v>
      </c>
      <c r="F356" s="5" t="s">
        <v>223</v>
      </c>
      <c r="G356" s="5" t="s">
        <v>221</v>
      </c>
      <c r="H356" s="5" t="s">
        <v>223</v>
      </c>
      <c r="I356" s="45" t="s">
        <v>223</v>
      </c>
      <c r="J356" s="5" t="s">
        <v>219</v>
      </c>
      <c r="K356" s="5" t="s">
        <v>222</v>
      </c>
      <c r="L356" s="6" t="s">
        <v>514</v>
      </c>
      <c r="M356" s="6" t="s">
        <v>469</v>
      </c>
      <c r="N356" s="6" t="s">
        <v>1662</v>
      </c>
      <c r="P356" s="6">
        <v>1</v>
      </c>
      <c r="Q356" s="5"/>
      <c r="R356" s="5"/>
      <c r="S356" s="5"/>
    </row>
    <row r="357" spans="2:19" ht="16.5" customHeight="1" x14ac:dyDescent="0.2">
      <c r="B357" s="6">
        <f>800+Tabla3[[#This Row],[interno]]</f>
        <v>810</v>
      </c>
      <c r="C357" s="6">
        <v>10</v>
      </c>
      <c r="D357" s="47" t="s">
        <v>2104</v>
      </c>
      <c r="E357" s="46"/>
      <c r="F357" s="5" t="s">
        <v>500</v>
      </c>
      <c r="G357" s="5" t="s">
        <v>501</v>
      </c>
      <c r="H357" s="5" t="s">
        <v>500</v>
      </c>
      <c r="I357" s="49"/>
      <c r="J357" s="5" t="s">
        <v>219</v>
      </c>
      <c r="K357" s="5" t="s">
        <v>91</v>
      </c>
      <c r="L357" s="6" t="s">
        <v>514</v>
      </c>
      <c r="M357" s="49" t="s">
        <v>469</v>
      </c>
      <c r="N357" s="6" t="s">
        <v>1668</v>
      </c>
      <c r="O357" s="49"/>
      <c r="P357" s="6">
        <v>1</v>
      </c>
      <c r="Q357" s="5"/>
      <c r="R357" s="5"/>
      <c r="S357" s="5"/>
    </row>
    <row r="358" spans="2:19" ht="16.5" customHeight="1" x14ac:dyDescent="0.2">
      <c r="B358" s="6">
        <v>121</v>
      </c>
      <c r="C358" s="6">
        <v>121</v>
      </c>
      <c r="D358" s="45" t="s">
        <v>1544</v>
      </c>
      <c r="E358" s="45" t="s">
        <v>1545</v>
      </c>
      <c r="F358" s="5" t="s">
        <v>226</v>
      </c>
      <c r="G358" s="5" t="s">
        <v>814</v>
      </c>
      <c r="H358" s="5" t="s">
        <v>226</v>
      </c>
      <c r="I358" s="45" t="s">
        <v>226</v>
      </c>
      <c r="J358" s="5" t="s">
        <v>219</v>
      </c>
      <c r="K358" s="5" t="s">
        <v>225</v>
      </c>
      <c r="L358" s="6" t="s">
        <v>514</v>
      </c>
      <c r="M358" s="6" t="s">
        <v>469</v>
      </c>
      <c r="N358" s="6" t="s">
        <v>1662</v>
      </c>
      <c r="P358" s="6">
        <v>1</v>
      </c>
      <c r="Q358" s="5"/>
      <c r="R358" s="5"/>
      <c r="S358" s="5"/>
    </row>
    <row r="359" spans="2:19" ht="16.5" customHeight="1" x14ac:dyDescent="0.2">
      <c r="B359" s="6">
        <v>108</v>
      </c>
      <c r="C359" s="6">
        <v>108</v>
      </c>
      <c r="D359" s="45" t="s">
        <v>1526</v>
      </c>
      <c r="E359" s="45" t="s">
        <v>1527</v>
      </c>
      <c r="F359" s="5" t="s">
        <v>228</v>
      </c>
      <c r="G359" s="5" t="s">
        <v>1168</v>
      </c>
      <c r="H359" s="5" t="s">
        <v>228</v>
      </c>
      <c r="I359" s="45" t="s">
        <v>228</v>
      </c>
      <c r="J359" s="5" t="s">
        <v>219</v>
      </c>
      <c r="K359" s="5" t="s">
        <v>123</v>
      </c>
      <c r="L359" s="6" t="s">
        <v>541</v>
      </c>
      <c r="M359" s="6" t="s">
        <v>469</v>
      </c>
      <c r="N359" s="6" t="s">
        <v>1662</v>
      </c>
      <c r="P359" s="6">
        <v>1</v>
      </c>
      <c r="Q359" s="5"/>
      <c r="R359" s="5"/>
      <c r="S359" s="5"/>
    </row>
    <row r="360" spans="2:19" ht="16.5" customHeight="1" x14ac:dyDescent="0.2">
      <c r="B360" s="6">
        <f>600+Tabla3[[#This Row],[interno]]</f>
        <v>614</v>
      </c>
      <c r="C360" s="6">
        <v>14</v>
      </c>
      <c r="D360" s="80">
        <v>3331156783</v>
      </c>
      <c r="E360" s="46">
        <v>3331156783</v>
      </c>
      <c r="F360" s="5" t="s">
        <v>502</v>
      </c>
      <c r="G360" s="5" t="s">
        <v>1169</v>
      </c>
      <c r="H360" s="5" t="s">
        <v>502</v>
      </c>
      <c r="I360" s="49"/>
      <c r="J360" s="5" t="s">
        <v>219</v>
      </c>
      <c r="K360" s="5" t="s">
        <v>230</v>
      </c>
      <c r="L360" s="6" t="s">
        <v>514</v>
      </c>
      <c r="M360" s="49" t="s">
        <v>469</v>
      </c>
      <c r="N360" s="49" t="s">
        <v>1665</v>
      </c>
      <c r="O360" s="49"/>
      <c r="P360" s="6">
        <v>1</v>
      </c>
      <c r="Q360" s="5"/>
      <c r="R360" s="5"/>
      <c r="S360" s="5"/>
    </row>
    <row r="361" spans="2:19" ht="16.5" customHeight="1" x14ac:dyDescent="0.2">
      <c r="B361" s="6">
        <v>33</v>
      </c>
      <c r="C361" s="6">
        <v>33</v>
      </c>
      <c r="D361" s="45" t="s">
        <v>1399</v>
      </c>
      <c r="E361" s="45" t="s">
        <v>1400</v>
      </c>
      <c r="F361" s="5" t="s">
        <v>232</v>
      </c>
      <c r="G361" s="5" t="s">
        <v>231</v>
      </c>
      <c r="H361" s="5" t="s">
        <v>232</v>
      </c>
      <c r="I361" s="45" t="s">
        <v>232</v>
      </c>
      <c r="J361" s="5" t="s">
        <v>219</v>
      </c>
      <c r="K361" s="5" t="s">
        <v>44</v>
      </c>
      <c r="L361" s="6" t="s">
        <v>540</v>
      </c>
      <c r="M361" s="6" t="s">
        <v>469</v>
      </c>
      <c r="N361" s="6" t="s">
        <v>1662</v>
      </c>
      <c r="P361" s="6">
        <v>1</v>
      </c>
      <c r="Q361" s="5"/>
      <c r="R361" s="5"/>
      <c r="S361" s="5"/>
    </row>
    <row r="362" spans="2:19" ht="16.5" customHeight="1" x14ac:dyDescent="0.2">
      <c r="B362" s="6">
        <f>600+Tabla3[[#This Row],[interno]]</f>
        <v>611</v>
      </c>
      <c r="C362" s="6">
        <v>11</v>
      </c>
      <c r="D362" s="80">
        <v>3331156615</v>
      </c>
      <c r="E362" s="46">
        <v>3331156615</v>
      </c>
      <c r="F362" s="5" t="s">
        <v>503</v>
      </c>
      <c r="G362" s="5" t="s">
        <v>504</v>
      </c>
      <c r="H362" s="5" t="s">
        <v>503</v>
      </c>
      <c r="I362" s="49"/>
      <c r="J362" s="5" t="s">
        <v>219</v>
      </c>
      <c r="K362" s="5" t="s">
        <v>230</v>
      </c>
      <c r="L362" s="6" t="s">
        <v>514</v>
      </c>
      <c r="M362" s="49" t="s">
        <v>469</v>
      </c>
      <c r="N362" s="49" t="s">
        <v>1665</v>
      </c>
      <c r="O362" s="49"/>
      <c r="P362" s="6">
        <v>1</v>
      </c>
      <c r="Q362" s="5"/>
      <c r="R362" s="5"/>
      <c r="S362" s="5"/>
    </row>
    <row r="363" spans="2:19" ht="16.5" customHeight="1" x14ac:dyDescent="0.2">
      <c r="B363" s="6">
        <f>600+Tabla3[[#This Row],[interno]]</f>
        <v>618</v>
      </c>
      <c r="C363" s="6">
        <v>18</v>
      </c>
      <c r="D363" s="80">
        <v>3331157064</v>
      </c>
      <c r="E363" s="46">
        <v>3331157064</v>
      </c>
      <c r="F363" s="5" t="s">
        <v>505</v>
      </c>
      <c r="G363" s="5" t="s">
        <v>506</v>
      </c>
      <c r="H363" s="5" t="s">
        <v>505</v>
      </c>
      <c r="I363" s="49"/>
      <c r="J363" s="5" t="s">
        <v>219</v>
      </c>
      <c r="K363" s="5" t="s">
        <v>94</v>
      </c>
      <c r="L363" s="6" t="s">
        <v>514</v>
      </c>
      <c r="M363" s="49" t="s">
        <v>469</v>
      </c>
      <c r="N363" s="49" t="s">
        <v>1665</v>
      </c>
      <c r="O363" s="49"/>
      <c r="P363" s="6">
        <v>1</v>
      </c>
      <c r="Q363" s="5"/>
      <c r="R363" s="5"/>
      <c r="S363" s="5"/>
    </row>
    <row r="364" spans="2:19" ht="16.5" customHeight="1" x14ac:dyDescent="0.2">
      <c r="B364" s="6">
        <v>154</v>
      </c>
      <c r="C364" s="6">
        <v>154</v>
      </c>
      <c r="D364" s="45" t="s">
        <v>1568</v>
      </c>
      <c r="E364" s="45" t="s">
        <v>1569</v>
      </c>
      <c r="F364" s="5" t="s">
        <v>234</v>
      </c>
      <c r="G364" s="5" t="s">
        <v>1170</v>
      </c>
      <c r="H364" s="5" t="s">
        <v>234</v>
      </c>
      <c r="I364" s="45" t="s">
        <v>234</v>
      </c>
      <c r="J364" s="5" t="s">
        <v>219</v>
      </c>
      <c r="K364" s="5" t="s">
        <v>135</v>
      </c>
      <c r="L364" s="6" t="s">
        <v>541</v>
      </c>
      <c r="M364" s="6" t="s">
        <v>469</v>
      </c>
      <c r="N364" s="6" t="s">
        <v>1662</v>
      </c>
      <c r="P364" s="6">
        <v>1</v>
      </c>
      <c r="Q364" s="5"/>
      <c r="R364" s="5"/>
      <c r="S364" s="5"/>
    </row>
    <row r="365" spans="2:19" ht="16.5" customHeight="1" x14ac:dyDescent="0.2">
      <c r="B365" s="6">
        <v>49</v>
      </c>
      <c r="C365" s="6">
        <v>49</v>
      </c>
      <c r="D365" s="45" t="s">
        <v>1425</v>
      </c>
      <c r="E365" s="45" t="s">
        <v>1426</v>
      </c>
      <c r="F365" s="5" t="s">
        <v>236</v>
      </c>
      <c r="G365" s="5" t="s">
        <v>235</v>
      </c>
      <c r="H365" s="5" t="s">
        <v>236</v>
      </c>
      <c r="I365" s="45" t="s">
        <v>236</v>
      </c>
      <c r="J365" s="5" t="s">
        <v>219</v>
      </c>
      <c r="K365" s="5" t="s">
        <v>218</v>
      </c>
      <c r="L365" s="6" t="s">
        <v>514</v>
      </c>
      <c r="M365" s="6" t="s">
        <v>469</v>
      </c>
      <c r="N365" s="6" t="s">
        <v>1662</v>
      </c>
      <c r="P365" s="6">
        <v>1</v>
      </c>
      <c r="Q365" s="5"/>
      <c r="R365" s="5"/>
      <c r="S365" s="5"/>
    </row>
    <row r="366" spans="2:19" ht="16.5" customHeight="1" x14ac:dyDescent="0.2">
      <c r="B366" s="6">
        <v>156</v>
      </c>
      <c r="C366" s="6">
        <v>156</v>
      </c>
      <c r="D366" s="45" t="s">
        <v>1560</v>
      </c>
      <c r="E366" s="45" t="s">
        <v>1561</v>
      </c>
      <c r="F366" s="5" t="s">
        <v>238</v>
      </c>
      <c r="G366" s="5" t="s">
        <v>237</v>
      </c>
      <c r="H366" s="5" t="s">
        <v>238</v>
      </c>
      <c r="I366" s="45" t="s">
        <v>238</v>
      </c>
      <c r="J366" s="5" t="s">
        <v>219</v>
      </c>
      <c r="K366" s="5" t="s">
        <v>113</v>
      </c>
      <c r="L366" s="6" t="s">
        <v>514</v>
      </c>
      <c r="M366" s="6" t="s">
        <v>469</v>
      </c>
      <c r="N366" s="6" t="s">
        <v>1662</v>
      </c>
      <c r="P366" s="6">
        <v>1</v>
      </c>
      <c r="Q366" s="5"/>
      <c r="R366" s="5"/>
      <c r="S366" s="5"/>
    </row>
    <row r="367" spans="2:19" ht="16.5" customHeight="1" x14ac:dyDescent="0.2">
      <c r="B367" s="6">
        <v>24</v>
      </c>
      <c r="C367" s="6">
        <v>24</v>
      </c>
      <c r="D367" s="45" t="s">
        <v>1363</v>
      </c>
      <c r="E367" s="45" t="s">
        <v>1364</v>
      </c>
      <c r="F367" s="5" t="s">
        <v>242</v>
      </c>
      <c r="G367" s="5" t="s">
        <v>241</v>
      </c>
      <c r="H367" s="5" t="s">
        <v>242</v>
      </c>
      <c r="I367" s="45" t="s">
        <v>242</v>
      </c>
      <c r="J367" s="5" t="s">
        <v>219</v>
      </c>
      <c r="K367" s="5" t="s">
        <v>44</v>
      </c>
      <c r="L367" s="6" t="s">
        <v>540</v>
      </c>
      <c r="M367" s="6" t="s">
        <v>469</v>
      </c>
      <c r="N367" s="6" t="s">
        <v>1662</v>
      </c>
      <c r="P367" s="6">
        <v>1</v>
      </c>
      <c r="Q367" s="5"/>
      <c r="R367" s="5"/>
      <c r="S367" s="5"/>
    </row>
    <row r="368" spans="2:19" ht="16.5" customHeight="1" x14ac:dyDescent="0.2">
      <c r="B368" s="6">
        <v>14</v>
      </c>
      <c r="C368" s="6">
        <v>14</v>
      </c>
      <c r="D368" s="45" t="s">
        <v>1375</v>
      </c>
      <c r="E368" s="45" t="s">
        <v>1376</v>
      </c>
      <c r="F368" s="5" t="s">
        <v>245</v>
      </c>
      <c r="G368" s="5" t="s">
        <v>243</v>
      </c>
      <c r="H368" s="5" t="s">
        <v>245</v>
      </c>
      <c r="I368" s="45" t="s">
        <v>245</v>
      </c>
      <c r="J368" s="5" t="s">
        <v>219</v>
      </c>
      <c r="K368" s="5" t="s">
        <v>244</v>
      </c>
      <c r="L368" s="6" t="s">
        <v>514</v>
      </c>
      <c r="M368" s="6" t="s">
        <v>469</v>
      </c>
      <c r="N368" s="6" t="s">
        <v>1662</v>
      </c>
      <c r="P368" s="6">
        <v>1</v>
      </c>
      <c r="Q368" s="5"/>
      <c r="R368" s="5"/>
      <c r="S368" s="5"/>
    </row>
    <row r="369" spans="2:19" ht="16.5" customHeight="1" x14ac:dyDescent="0.2">
      <c r="B369" s="6">
        <v>25</v>
      </c>
      <c r="C369" s="6">
        <v>25</v>
      </c>
      <c r="D369" s="45" t="s">
        <v>1365</v>
      </c>
      <c r="E369" s="45" t="s">
        <v>1366</v>
      </c>
      <c r="F369" s="5" t="s">
        <v>249</v>
      </c>
      <c r="G369" s="5" t="s">
        <v>1171</v>
      </c>
      <c r="H369" s="5" t="s">
        <v>249</v>
      </c>
      <c r="I369" s="45" t="s">
        <v>249</v>
      </c>
      <c r="J369" s="5" t="s">
        <v>219</v>
      </c>
      <c r="K369" s="5" t="s">
        <v>132</v>
      </c>
      <c r="L369" s="6" t="s">
        <v>540</v>
      </c>
      <c r="M369" s="6" t="s">
        <v>469</v>
      </c>
      <c r="N369" s="6" t="s">
        <v>1662</v>
      </c>
      <c r="P369" s="6">
        <v>1</v>
      </c>
      <c r="Q369" s="5"/>
      <c r="R369" s="5"/>
      <c r="S369" s="5"/>
    </row>
    <row r="370" spans="2:19" ht="16.5" customHeight="1" x14ac:dyDescent="0.2">
      <c r="B370" s="6">
        <v>524</v>
      </c>
      <c r="C370" s="6">
        <v>324</v>
      </c>
      <c r="D370" s="33" t="s">
        <v>2607</v>
      </c>
      <c r="E370" s="6"/>
      <c r="F370" s="45" t="s">
        <v>2679</v>
      </c>
      <c r="G370" s="9" t="s">
        <v>2676</v>
      </c>
      <c r="H370" s="33" t="s">
        <v>2679</v>
      </c>
      <c r="I370" s="33" t="s">
        <v>2679</v>
      </c>
      <c r="J370" s="6" t="s">
        <v>2680</v>
      </c>
      <c r="K370" s="6" t="s">
        <v>2681</v>
      </c>
      <c r="L370" s="6" t="s">
        <v>514</v>
      </c>
      <c r="M370" s="6" t="s">
        <v>469</v>
      </c>
      <c r="N370" s="49" t="s">
        <v>1663</v>
      </c>
      <c r="O370" s="43"/>
      <c r="P370" s="6"/>
      <c r="Q370" s="5"/>
      <c r="R370" s="5"/>
      <c r="S370" s="5"/>
    </row>
    <row r="371" spans="2:19" ht="16.5" customHeight="1" x14ac:dyDescent="0.2">
      <c r="B371" s="6">
        <v>541</v>
      </c>
      <c r="C371" s="6">
        <v>341</v>
      </c>
      <c r="D371" s="33" t="s">
        <v>2713</v>
      </c>
      <c r="E371" s="6"/>
      <c r="F371" s="45" t="s">
        <v>2721</v>
      </c>
      <c r="G371" s="9" t="s">
        <v>2722</v>
      </c>
      <c r="H371" s="33" t="s">
        <v>2721</v>
      </c>
      <c r="I371" s="33" t="s">
        <v>2721</v>
      </c>
      <c r="J371" s="6" t="s">
        <v>2680</v>
      </c>
      <c r="K371" s="6" t="s">
        <v>2707</v>
      </c>
      <c r="L371" s="6" t="s">
        <v>514</v>
      </c>
      <c r="M371" s="6" t="s">
        <v>469</v>
      </c>
      <c r="N371" s="49" t="s">
        <v>1663</v>
      </c>
      <c r="O371" s="43"/>
      <c r="P371" s="6"/>
      <c r="Q371" s="5"/>
      <c r="R371" s="5"/>
      <c r="S371" s="5"/>
    </row>
    <row r="372" spans="2:19" ht="16.5" customHeight="1" x14ac:dyDescent="0.2">
      <c r="B372" s="6">
        <v>523</v>
      </c>
      <c r="C372" s="6">
        <v>323</v>
      </c>
      <c r="D372" s="33" t="s">
        <v>2606</v>
      </c>
      <c r="E372" s="6"/>
      <c r="F372" s="45" t="s">
        <v>2682</v>
      </c>
      <c r="G372" s="9" t="s">
        <v>2677</v>
      </c>
      <c r="H372" s="33" t="s">
        <v>2682</v>
      </c>
      <c r="I372" s="33" t="s">
        <v>2682</v>
      </c>
      <c r="J372" s="6" t="s">
        <v>2680</v>
      </c>
      <c r="K372" s="6" t="s">
        <v>2681</v>
      </c>
      <c r="L372" s="6" t="s">
        <v>514</v>
      </c>
      <c r="M372" s="6" t="s">
        <v>469</v>
      </c>
      <c r="N372" s="49" t="s">
        <v>1663</v>
      </c>
      <c r="O372" s="43"/>
      <c r="P372" s="6"/>
      <c r="Q372" s="5"/>
      <c r="R372" s="5"/>
      <c r="S372" s="5"/>
    </row>
    <row r="373" spans="2:19" ht="16.5" customHeight="1" x14ac:dyDescent="0.2">
      <c r="B373" s="6">
        <v>142</v>
      </c>
      <c r="C373" s="6">
        <v>142</v>
      </c>
      <c r="D373" s="45" t="s">
        <v>1455</v>
      </c>
      <c r="E373" s="45" t="s">
        <v>1456</v>
      </c>
      <c r="F373" s="5" t="s">
        <v>589</v>
      </c>
      <c r="G373" s="5" t="s">
        <v>713</v>
      </c>
      <c r="H373" s="5" t="s">
        <v>589</v>
      </c>
      <c r="I373" s="45" t="s">
        <v>589</v>
      </c>
      <c r="J373" s="5" t="s">
        <v>857</v>
      </c>
      <c r="K373" s="5" t="s">
        <v>1094</v>
      </c>
      <c r="L373" s="6" t="s">
        <v>514</v>
      </c>
      <c r="M373" s="6" t="s">
        <v>469</v>
      </c>
      <c r="N373" s="6" t="s">
        <v>1662</v>
      </c>
      <c r="P373" s="6">
        <v>1</v>
      </c>
      <c r="Q373" s="5"/>
      <c r="R373" s="5"/>
      <c r="S373" s="5"/>
    </row>
    <row r="374" spans="2:19" ht="16.5" customHeight="1" x14ac:dyDescent="0.2">
      <c r="B374" s="6">
        <v>83</v>
      </c>
      <c r="C374" s="6">
        <v>83</v>
      </c>
      <c r="D374" s="45" t="s">
        <v>620</v>
      </c>
      <c r="E374" s="45" t="s">
        <v>1576</v>
      </c>
      <c r="F374" s="5" t="s">
        <v>621</v>
      </c>
      <c r="G374" s="5" t="s">
        <v>626</v>
      </c>
      <c r="H374" s="5" t="s">
        <v>621</v>
      </c>
      <c r="I374" s="45" t="s">
        <v>621</v>
      </c>
      <c r="J374" s="5" t="s">
        <v>349</v>
      </c>
      <c r="K374" s="5" t="s">
        <v>28</v>
      </c>
      <c r="L374" s="6" t="s">
        <v>540</v>
      </c>
      <c r="M374" s="6" t="s">
        <v>582</v>
      </c>
      <c r="N374" s="6" t="s">
        <v>1662</v>
      </c>
      <c r="P374" s="6">
        <v>1</v>
      </c>
      <c r="Q374" s="5"/>
      <c r="R374" s="5"/>
      <c r="S374" s="5"/>
    </row>
    <row r="375" spans="2:19" ht="16.5" customHeight="1" x14ac:dyDescent="0.2">
      <c r="B375" s="6">
        <v>93</v>
      </c>
      <c r="C375" s="6">
        <v>93</v>
      </c>
      <c r="D375" s="45" t="s">
        <v>1506</v>
      </c>
      <c r="E375" s="45" t="s">
        <v>1507</v>
      </c>
      <c r="F375" s="5" t="s">
        <v>590</v>
      </c>
      <c r="G375" s="5" t="s">
        <v>627</v>
      </c>
      <c r="H375" s="5" t="s">
        <v>590</v>
      </c>
      <c r="I375" s="45" t="s">
        <v>590</v>
      </c>
      <c r="J375" s="5" t="s">
        <v>349</v>
      </c>
      <c r="K375" s="5" t="s">
        <v>341</v>
      </c>
      <c r="L375" s="6" t="s">
        <v>514</v>
      </c>
      <c r="M375" s="6" t="s">
        <v>469</v>
      </c>
      <c r="N375" s="6" t="s">
        <v>1662</v>
      </c>
      <c r="P375" s="6">
        <v>1</v>
      </c>
      <c r="Q375" s="5"/>
      <c r="R375" s="5"/>
      <c r="S375" s="5"/>
    </row>
    <row r="376" spans="2:19" ht="16.5" customHeight="1" x14ac:dyDescent="0.2">
      <c r="B376" s="6">
        <v>84</v>
      </c>
      <c r="C376" s="6">
        <v>84</v>
      </c>
      <c r="D376" s="45" t="s">
        <v>622</v>
      </c>
      <c r="E376" s="45" t="s">
        <v>1577</v>
      </c>
      <c r="F376" s="5" t="s">
        <v>624</v>
      </c>
      <c r="G376" s="5" t="s">
        <v>635</v>
      </c>
      <c r="H376" s="5" t="s">
        <v>624</v>
      </c>
      <c r="I376" s="45" t="s">
        <v>624</v>
      </c>
      <c r="J376" s="5" t="s">
        <v>349</v>
      </c>
      <c r="K376" s="5" t="s">
        <v>225</v>
      </c>
      <c r="L376" s="6" t="s">
        <v>514</v>
      </c>
      <c r="M376" s="6" t="s">
        <v>582</v>
      </c>
      <c r="N376" s="6" t="s">
        <v>1662</v>
      </c>
      <c r="P376" s="6">
        <v>1</v>
      </c>
      <c r="Q376" s="5"/>
      <c r="R376" s="5"/>
      <c r="S376" s="5"/>
    </row>
    <row r="377" spans="2:19" ht="16.5" customHeight="1" x14ac:dyDescent="0.2">
      <c r="B377" s="6">
        <v>484</v>
      </c>
      <c r="C377" s="6">
        <v>284</v>
      </c>
      <c r="D377" s="33" t="s">
        <v>2447</v>
      </c>
      <c r="E377" s="6"/>
      <c r="F377" s="45" t="s">
        <v>2518</v>
      </c>
      <c r="G377" s="9" t="s">
        <v>2519</v>
      </c>
      <c r="H377" s="33" t="s">
        <v>2518</v>
      </c>
      <c r="I377" s="33" t="s">
        <v>2518</v>
      </c>
      <c r="J377" s="6" t="s">
        <v>857</v>
      </c>
      <c r="K377" s="6" t="s">
        <v>448</v>
      </c>
      <c r="L377" s="6" t="s">
        <v>514</v>
      </c>
      <c r="M377" s="6" t="s">
        <v>469</v>
      </c>
      <c r="N377" s="49" t="s">
        <v>1663</v>
      </c>
      <c r="O377" s="43"/>
      <c r="P377" s="6"/>
      <c r="Q377" s="5"/>
      <c r="R377" s="5"/>
      <c r="S377" s="5"/>
    </row>
    <row r="378" spans="2:19" ht="16.5" customHeight="1" x14ac:dyDescent="0.2">
      <c r="B378" s="6">
        <v>110</v>
      </c>
      <c r="C378" s="6">
        <v>110</v>
      </c>
      <c r="D378" s="45" t="s">
        <v>1516</v>
      </c>
      <c r="E378" s="45" t="s">
        <v>1517</v>
      </c>
      <c r="F378" s="5" t="s">
        <v>259</v>
      </c>
      <c r="G378" s="5" t="s">
        <v>1172</v>
      </c>
      <c r="H378" s="5" t="s">
        <v>259</v>
      </c>
      <c r="I378" s="45" t="s">
        <v>259</v>
      </c>
      <c r="J378" s="5" t="s">
        <v>258</v>
      </c>
      <c r="K378" s="5" t="s">
        <v>886</v>
      </c>
      <c r="L378" s="6" t="s">
        <v>541</v>
      </c>
      <c r="M378" s="6" t="s">
        <v>469</v>
      </c>
      <c r="N378" s="6" t="s">
        <v>1662</v>
      </c>
      <c r="P378" s="6">
        <v>1</v>
      </c>
      <c r="Q378" s="5"/>
      <c r="R378" s="5"/>
      <c r="S378" s="5"/>
    </row>
    <row r="379" spans="2:19" ht="16.5" customHeight="1" x14ac:dyDescent="0.2">
      <c r="B379" s="6">
        <v>148</v>
      </c>
      <c r="C379" s="6">
        <v>148</v>
      </c>
      <c r="D379" s="45" t="s">
        <v>1552</v>
      </c>
      <c r="E379" s="45" t="s">
        <v>1553</v>
      </c>
      <c r="F379" s="5" t="s">
        <v>264</v>
      </c>
      <c r="G379" s="5" t="s">
        <v>728</v>
      </c>
      <c r="H379" s="5" t="s">
        <v>264</v>
      </c>
      <c r="I379" s="45" t="s">
        <v>264</v>
      </c>
      <c r="J379" s="5" t="s">
        <v>219</v>
      </c>
      <c r="K379" s="5" t="s">
        <v>28</v>
      </c>
      <c r="L379" s="6" t="s">
        <v>540</v>
      </c>
      <c r="M379" s="6" t="s">
        <v>469</v>
      </c>
      <c r="N379" s="6" t="s">
        <v>1662</v>
      </c>
      <c r="P379" s="6">
        <v>1</v>
      </c>
      <c r="Q379" s="5"/>
      <c r="R379" s="5"/>
      <c r="S379" s="5"/>
    </row>
    <row r="380" spans="2:19" ht="16.5" customHeight="1" x14ac:dyDescent="0.2">
      <c r="B380" s="6">
        <v>119</v>
      </c>
      <c r="C380" s="6">
        <v>119</v>
      </c>
      <c r="D380" s="45" t="s">
        <v>1540</v>
      </c>
      <c r="E380" s="45" t="s">
        <v>1541</v>
      </c>
      <c r="F380" s="5" t="s">
        <v>271</v>
      </c>
      <c r="G380" s="5" t="s">
        <v>269</v>
      </c>
      <c r="H380" s="5" t="s">
        <v>271</v>
      </c>
      <c r="I380" s="45" t="s">
        <v>271</v>
      </c>
      <c r="J380" s="5" t="s">
        <v>219</v>
      </c>
      <c r="K380" s="5" t="s">
        <v>270</v>
      </c>
      <c r="L380" s="6" t="s">
        <v>514</v>
      </c>
      <c r="M380" s="6" t="s">
        <v>469</v>
      </c>
      <c r="N380" s="6" t="s">
        <v>1662</v>
      </c>
      <c r="P380" s="6">
        <v>1</v>
      </c>
      <c r="Q380" s="5"/>
      <c r="R380" s="5"/>
      <c r="S380" s="5"/>
    </row>
    <row r="381" spans="2:19" ht="16.5" customHeight="1" x14ac:dyDescent="0.2">
      <c r="B381" s="6">
        <v>120</v>
      </c>
      <c r="C381" s="6">
        <v>120</v>
      </c>
      <c r="D381" s="45" t="s">
        <v>1542</v>
      </c>
      <c r="E381" s="45" t="s">
        <v>1543</v>
      </c>
      <c r="F381" s="5" t="s">
        <v>273</v>
      </c>
      <c r="G381" s="5" t="s">
        <v>272</v>
      </c>
      <c r="H381" s="5" t="s">
        <v>273</v>
      </c>
      <c r="I381" s="45" t="s">
        <v>273</v>
      </c>
      <c r="J381" s="5" t="s">
        <v>219</v>
      </c>
      <c r="K381" s="5" t="s">
        <v>225</v>
      </c>
      <c r="L381" s="6" t="s">
        <v>514</v>
      </c>
      <c r="M381" s="6" t="s">
        <v>469</v>
      </c>
      <c r="N381" s="6" t="s">
        <v>1662</v>
      </c>
      <c r="P381" s="6">
        <v>1</v>
      </c>
      <c r="Q381" s="5"/>
      <c r="R381" s="5"/>
      <c r="S381" s="5"/>
    </row>
    <row r="382" spans="2:19" ht="16.5" customHeight="1" x14ac:dyDescent="0.2">
      <c r="B382" s="7">
        <v>146</v>
      </c>
      <c r="C382" s="7">
        <v>146</v>
      </c>
      <c r="D382" s="69" t="s">
        <v>1558</v>
      </c>
      <c r="E382" s="69" t="s">
        <v>1559</v>
      </c>
      <c r="F382" s="59" t="s">
        <v>277</v>
      </c>
      <c r="G382" s="59" t="s">
        <v>276</v>
      </c>
      <c r="H382" s="59" t="s">
        <v>277</v>
      </c>
      <c r="I382" s="69" t="s">
        <v>277</v>
      </c>
      <c r="J382" s="59" t="s">
        <v>219</v>
      </c>
      <c r="K382" s="59" t="s">
        <v>225</v>
      </c>
      <c r="L382" s="7" t="s">
        <v>514</v>
      </c>
      <c r="M382" s="7" t="s">
        <v>469</v>
      </c>
      <c r="N382" s="7" t="s">
        <v>1662</v>
      </c>
      <c r="O382" s="7" t="s">
        <v>2515</v>
      </c>
      <c r="P382" s="7">
        <v>1</v>
      </c>
      <c r="Q382" s="5"/>
      <c r="R382" s="5"/>
      <c r="S382" s="5"/>
    </row>
    <row r="383" spans="2:19" ht="16.5" customHeight="1" x14ac:dyDescent="0.2">
      <c r="B383" s="6">
        <v>145</v>
      </c>
      <c r="C383" s="6">
        <v>145</v>
      </c>
      <c r="D383" s="45" t="s">
        <v>1574</v>
      </c>
      <c r="E383" s="45" t="s">
        <v>1575</v>
      </c>
      <c r="F383" s="5" t="s">
        <v>279</v>
      </c>
      <c r="G383" s="5" t="s">
        <v>278</v>
      </c>
      <c r="H383" s="5" t="s">
        <v>279</v>
      </c>
      <c r="I383" s="45" t="s">
        <v>279</v>
      </c>
      <c r="J383" s="5" t="s">
        <v>219</v>
      </c>
      <c r="K383" s="5" t="s">
        <v>225</v>
      </c>
      <c r="L383" s="6" t="s">
        <v>514</v>
      </c>
      <c r="M383" s="6" t="s">
        <v>469</v>
      </c>
      <c r="N383" s="6" t="s">
        <v>1662</v>
      </c>
      <c r="P383" s="6">
        <v>1</v>
      </c>
      <c r="Q383" s="5"/>
      <c r="R383" s="5"/>
      <c r="S383" s="5"/>
    </row>
    <row r="384" spans="2:19" ht="16.5" customHeight="1" x14ac:dyDescent="0.2">
      <c r="B384" s="6">
        <v>149</v>
      </c>
      <c r="C384" s="6">
        <v>149</v>
      </c>
      <c r="D384" s="45" t="s">
        <v>1570</v>
      </c>
      <c r="E384" s="45" t="s">
        <v>1571</v>
      </c>
      <c r="F384" s="5" t="s">
        <v>284</v>
      </c>
      <c r="G384" s="5" t="s">
        <v>283</v>
      </c>
      <c r="H384" s="5" t="s">
        <v>284</v>
      </c>
      <c r="I384" s="45" t="s">
        <v>284</v>
      </c>
      <c r="J384" s="5" t="s">
        <v>219</v>
      </c>
      <c r="K384" s="5" t="s">
        <v>180</v>
      </c>
      <c r="L384" s="6" t="s">
        <v>514</v>
      </c>
      <c r="M384" s="6" t="s">
        <v>469</v>
      </c>
      <c r="N384" s="6" t="s">
        <v>1662</v>
      </c>
      <c r="P384" s="6">
        <v>1</v>
      </c>
      <c r="Q384" s="5"/>
      <c r="R384" s="5"/>
      <c r="S384" s="5"/>
    </row>
    <row r="385" spans="2:19" ht="16.5" customHeight="1" x14ac:dyDescent="0.2">
      <c r="B385" s="6">
        <v>67</v>
      </c>
      <c r="C385" s="6">
        <v>67</v>
      </c>
      <c r="D385" s="45" t="s">
        <v>1480</v>
      </c>
      <c r="E385" s="45" t="s">
        <v>1481</v>
      </c>
      <c r="F385" s="5" t="s">
        <v>290</v>
      </c>
      <c r="G385" s="5" t="s">
        <v>289</v>
      </c>
      <c r="H385" s="5" t="s">
        <v>290</v>
      </c>
      <c r="I385" s="45" t="s">
        <v>290</v>
      </c>
      <c r="J385" s="5" t="s">
        <v>219</v>
      </c>
      <c r="K385" s="5" t="s">
        <v>159</v>
      </c>
      <c r="L385" s="6" t="s">
        <v>514</v>
      </c>
      <c r="M385" s="6" t="s">
        <v>469</v>
      </c>
      <c r="N385" s="6" t="s">
        <v>1662</v>
      </c>
      <c r="P385" s="6">
        <v>1</v>
      </c>
      <c r="Q385" s="5"/>
      <c r="R385" s="5"/>
      <c r="S385" s="5"/>
    </row>
    <row r="386" spans="2:19" ht="16.5" customHeight="1" x14ac:dyDescent="0.2">
      <c r="B386" s="6">
        <v>152</v>
      </c>
      <c r="C386" s="6">
        <v>152</v>
      </c>
      <c r="D386" s="45" t="s">
        <v>1556</v>
      </c>
      <c r="E386" s="45" t="s">
        <v>1557</v>
      </c>
      <c r="F386" s="5" t="s">
        <v>292</v>
      </c>
      <c r="G386" s="5" t="s">
        <v>1173</v>
      </c>
      <c r="H386" s="5" t="s">
        <v>292</v>
      </c>
      <c r="I386" s="45" t="s">
        <v>292</v>
      </c>
      <c r="J386" s="5" t="s">
        <v>219</v>
      </c>
      <c r="K386" s="5" t="s">
        <v>135</v>
      </c>
      <c r="L386" s="6" t="s">
        <v>541</v>
      </c>
      <c r="M386" s="6" t="s">
        <v>469</v>
      </c>
      <c r="N386" s="6" t="s">
        <v>1662</v>
      </c>
      <c r="P386" s="6">
        <v>1</v>
      </c>
      <c r="Q386" s="5"/>
      <c r="R386" s="5"/>
      <c r="S386" s="5"/>
    </row>
    <row r="387" spans="2:19" ht="16.5" customHeight="1" x14ac:dyDescent="0.2">
      <c r="B387" s="6">
        <v>64</v>
      </c>
      <c r="C387" s="6">
        <v>64</v>
      </c>
      <c r="D387" s="45" t="s">
        <v>1478</v>
      </c>
      <c r="E387" s="45" t="s">
        <v>1479</v>
      </c>
      <c r="F387" s="5" t="s">
        <v>297</v>
      </c>
      <c r="G387" s="5" t="s">
        <v>296</v>
      </c>
      <c r="H387" s="5" t="s">
        <v>297</v>
      </c>
      <c r="I387" s="45" t="s">
        <v>297</v>
      </c>
      <c r="J387" s="5" t="s">
        <v>219</v>
      </c>
      <c r="K387" s="5" t="s">
        <v>159</v>
      </c>
      <c r="L387" s="6" t="s">
        <v>514</v>
      </c>
      <c r="M387" s="6" t="s">
        <v>469</v>
      </c>
      <c r="N387" s="6" t="s">
        <v>1662</v>
      </c>
      <c r="P387" s="6">
        <v>1</v>
      </c>
      <c r="Q387" s="5"/>
      <c r="R387" s="5"/>
      <c r="S387" s="5"/>
    </row>
    <row r="388" spans="2:19" ht="16.5" customHeight="1" x14ac:dyDescent="0.2">
      <c r="B388" s="6">
        <v>150</v>
      </c>
      <c r="C388" s="6">
        <v>150</v>
      </c>
      <c r="D388" s="45" t="s">
        <v>1566</v>
      </c>
      <c r="E388" s="45" t="s">
        <v>1567</v>
      </c>
      <c r="F388" s="5" t="s">
        <v>299</v>
      </c>
      <c r="G388" s="5" t="s">
        <v>1174</v>
      </c>
      <c r="H388" s="5" t="s">
        <v>299</v>
      </c>
      <c r="I388" s="45" t="s">
        <v>299</v>
      </c>
      <c r="J388" s="5" t="s">
        <v>219</v>
      </c>
      <c r="K388" s="5" t="s">
        <v>123</v>
      </c>
      <c r="L388" s="6" t="s">
        <v>541</v>
      </c>
      <c r="M388" s="6" t="s">
        <v>469</v>
      </c>
      <c r="N388" s="6" t="s">
        <v>1662</v>
      </c>
      <c r="P388" s="6">
        <v>1</v>
      </c>
      <c r="Q388" s="5"/>
      <c r="R388" s="5"/>
      <c r="S388" s="5"/>
    </row>
    <row r="389" spans="2:19" ht="16.5" customHeight="1" x14ac:dyDescent="0.2">
      <c r="B389" s="6">
        <v>151</v>
      </c>
      <c r="C389" s="6">
        <v>151</v>
      </c>
      <c r="D389" s="45" t="s">
        <v>1550</v>
      </c>
      <c r="E389" s="45" t="s">
        <v>1551</v>
      </c>
      <c r="F389" s="5" t="s">
        <v>305</v>
      </c>
      <c r="G389" s="5" t="s">
        <v>1175</v>
      </c>
      <c r="H389" s="5" t="s">
        <v>305</v>
      </c>
      <c r="I389" s="45" t="s">
        <v>305</v>
      </c>
      <c r="J389" s="5" t="s">
        <v>219</v>
      </c>
      <c r="K389" s="5" t="s">
        <v>123</v>
      </c>
      <c r="L389" s="6" t="s">
        <v>541</v>
      </c>
      <c r="M389" s="6" t="s">
        <v>469</v>
      </c>
      <c r="N389" s="6" t="s">
        <v>1662</v>
      </c>
      <c r="P389" s="6">
        <v>1</v>
      </c>
      <c r="Q389" s="5"/>
      <c r="R389" s="5"/>
      <c r="S389" s="5"/>
    </row>
    <row r="390" spans="2:19" ht="16.5" customHeight="1" x14ac:dyDescent="0.2">
      <c r="B390" s="6">
        <v>63</v>
      </c>
      <c r="C390" s="6">
        <v>63</v>
      </c>
      <c r="D390" s="45" t="s">
        <v>1482</v>
      </c>
      <c r="E390" s="45" t="s">
        <v>1483</v>
      </c>
      <c r="F390" s="5" t="s">
        <v>307</v>
      </c>
      <c r="G390" s="5" t="s">
        <v>306</v>
      </c>
      <c r="H390" s="5" t="s">
        <v>307</v>
      </c>
      <c r="I390" s="45" t="s">
        <v>307</v>
      </c>
      <c r="J390" s="5" t="s">
        <v>219</v>
      </c>
      <c r="K390" s="5" t="s">
        <v>180</v>
      </c>
      <c r="L390" s="6" t="s">
        <v>514</v>
      </c>
      <c r="M390" s="6" t="s">
        <v>469</v>
      </c>
      <c r="N390" s="6" t="s">
        <v>1662</v>
      </c>
      <c r="P390" s="6">
        <v>1</v>
      </c>
      <c r="Q390" s="5"/>
      <c r="R390" s="5"/>
      <c r="S390" s="5"/>
    </row>
    <row r="391" spans="2:19" ht="16.5" customHeight="1" x14ac:dyDescent="0.2">
      <c r="B391" s="6">
        <v>65</v>
      </c>
      <c r="C391" s="6">
        <v>65</v>
      </c>
      <c r="D391" s="45" t="s">
        <v>1484</v>
      </c>
      <c r="E391" s="45" t="s">
        <v>1485</v>
      </c>
      <c r="F391" s="5" t="s">
        <v>310</v>
      </c>
      <c r="G391" s="5" t="s">
        <v>1176</v>
      </c>
      <c r="H391" s="5" t="s">
        <v>310</v>
      </c>
      <c r="I391" s="45" t="s">
        <v>310</v>
      </c>
      <c r="J391" s="5" t="s">
        <v>219</v>
      </c>
      <c r="K391" s="5" t="s">
        <v>309</v>
      </c>
      <c r="L391" s="6" t="s">
        <v>541</v>
      </c>
      <c r="M391" s="6" t="s">
        <v>469</v>
      </c>
      <c r="N391" s="6" t="s">
        <v>1662</v>
      </c>
      <c r="P391" s="6">
        <v>1</v>
      </c>
      <c r="Q391" s="5"/>
      <c r="R391" s="5"/>
      <c r="S391" s="5"/>
    </row>
    <row r="392" spans="2:19" ht="16.5" customHeight="1" x14ac:dyDescent="0.2">
      <c r="B392" s="6">
        <v>66</v>
      </c>
      <c r="C392" s="6">
        <v>66</v>
      </c>
      <c r="D392" s="45" t="s">
        <v>1486</v>
      </c>
      <c r="E392" s="45" t="s">
        <v>1487</v>
      </c>
      <c r="F392" s="5" t="s">
        <v>312</v>
      </c>
      <c r="G392" s="5" t="s">
        <v>311</v>
      </c>
      <c r="H392" s="5" t="s">
        <v>312</v>
      </c>
      <c r="I392" s="45" t="s">
        <v>312</v>
      </c>
      <c r="J392" s="5" t="s">
        <v>219</v>
      </c>
      <c r="K392" s="5" t="s">
        <v>113</v>
      </c>
      <c r="L392" s="6" t="s">
        <v>514</v>
      </c>
      <c r="M392" s="6" t="s">
        <v>469</v>
      </c>
      <c r="N392" s="6" t="s">
        <v>1662</v>
      </c>
      <c r="P392" s="6">
        <v>1</v>
      </c>
      <c r="Q392" s="5"/>
      <c r="R392" s="5"/>
      <c r="S392" s="5"/>
    </row>
    <row r="393" spans="2:19" ht="16.5" customHeight="1" x14ac:dyDescent="0.2">
      <c r="B393" s="6">
        <v>68</v>
      </c>
      <c r="C393" s="6">
        <v>68</v>
      </c>
      <c r="D393" s="45" t="s">
        <v>1468</v>
      </c>
      <c r="E393" s="45" t="s">
        <v>1469</v>
      </c>
      <c r="F393" s="5" t="s">
        <v>314</v>
      </c>
      <c r="G393" s="5" t="s">
        <v>1177</v>
      </c>
      <c r="H393" s="5" t="s">
        <v>314</v>
      </c>
      <c r="I393" s="45" t="s">
        <v>314</v>
      </c>
      <c r="J393" s="5" t="s">
        <v>219</v>
      </c>
      <c r="K393" s="5" t="s">
        <v>309</v>
      </c>
      <c r="L393" s="6" t="s">
        <v>541</v>
      </c>
      <c r="M393" s="6" t="s">
        <v>469</v>
      </c>
      <c r="N393" s="6" t="s">
        <v>1662</v>
      </c>
      <c r="P393" s="6">
        <v>1</v>
      </c>
      <c r="Q393" s="5"/>
      <c r="R393" s="5"/>
      <c r="S393" s="5"/>
    </row>
    <row r="394" spans="2:19" ht="16.5" customHeight="1" x14ac:dyDescent="0.2">
      <c r="B394" s="6">
        <v>114</v>
      </c>
      <c r="C394" s="6">
        <v>114</v>
      </c>
      <c r="D394" s="45" t="s">
        <v>1528</v>
      </c>
      <c r="E394" s="45" t="s">
        <v>1529</v>
      </c>
      <c r="F394" s="5" t="s">
        <v>318</v>
      </c>
      <c r="G394" s="5" t="s">
        <v>1178</v>
      </c>
      <c r="H394" s="5" t="s">
        <v>318</v>
      </c>
      <c r="I394" s="45" t="s">
        <v>318</v>
      </c>
      <c r="J394" s="5" t="s">
        <v>219</v>
      </c>
      <c r="K394" s="5" t="s">
        <v>94</v>
      </c>
      <c r="L394" s="6" t="s">
        <v>514</v>
      </c>
      <c r="M394" s="6" t="s">
        <v>469</v>
      </c>
      <c r="N394" s="6" t="s">
        <v>1662</v>
      </c>
      <c r="P394" s="6">
        <v>1</v>
      </c>
      <c r="Q394" s="5"/>
      <c r="R394" s="5"/>
      <c r="S394" s="5"/>
    </row>
    <row r="395" spans="2:19" ht="16.5" customHeight="1" x14ac:dyDescent="0.2">
      <c r="B395" s="6">
        <v>436</v>
      </c>
      <c r="C395" s="6">
        <v>236</v>
      </c>
      <c r="D395" s="33" t="s">
        <v>2369</v>
      </c>
      <c r="E395" s="6"/>
      <c r="F395" s="45" t="s">
        <v>2373</v>
      </c>
      <c r="G395" s="45" t="s">
        <v>2374</v>
      </c>
      <c r="H395" s="45" t="s">
        <v>2373</v>
      </c>
      <c r="I395" s="45" t="s">
        <v>2373</v>
      </c>
      <c r="J395" s="5" t="s">
        <v>2375</v>
      </c>
      <c r="K395" s="5" t="s">
        <v>2292</v>
      </c>
      <c r="L395" s="6" t="s">
        <v>514</v>
      </c>
      <c r="M395" s="49" t="s">
        <v>469</v>
      </c>
      <c r="N395" s="49" t="s">
        <v>1663</v>
      </c>
      <c r="P395" s="6"/>
      <c r="Q395" s="5"/>
      <c r="R395" s="5"/>
      <c r="S395" s="5"/>
    </row>
    <row r="396" spans="2:19" ht="16.5" customHeight="1" x14ac:dyDescent="0.2">
      <c r="B396" s="6">
        <v>288</v>
      </c>
      <c r="C396" s="6">
        <v>88</v>
      </c>
      <c r="D396" s="33" t="s">
        <v>1271</v>
      </c>
      <c r="E396" s="6" t="s">
        <v>915</v>
      </c>
      <c r="F396" s="33" t="s">
        <v>2426</v>
      </c>
      <c r="G396" s="37" t="s">
        <v>2490</v>
      </c>
      <c r="H396" s="33" t="s">
        <v>2426</v>
      </c>
      <c r="I396" s="33" t="s">
        <v>2426</v>
      </c>
      <c r="J396" s="5" t="s">
        <v>2232</v>
      </c>
      <c r="K396" s="5" t="s">
        <v>2427</v>
      </c>
      <c r="L396" s="6" t="s">
        <v>514</v>
      </c>
      <c r="M396" s="6" t="s">
        <v>582</v>
      </c>
      <c r="N396" s="49" t="s">
        <v>1663</v>
      </c>
      <c r="O396" s="49"/>
      <c r="P396" s="6"/>
      <c r="Q396" s="5"/>
      <c r="R396" s="5"/>
      <c r="S396" s="5"/>
    </row>
    <row r="397" spans="2:19" ht="16.5" customHeight="1" x14ac:dyDescent="0.2">
      <c r="B397" s="6">
        <v>493</v>
      </c>
      <c r="C397" s="6">
        <v>293</v>
      </c>
      <c r="D397" s="33" t="s">
        <v>2529</v>
      </c>
      <c r="E397" s="6"/>
      <c r="F397" s="45" t="s">
        <v>2558</v>
      </c>
      <c r="G397" s="9" t="s">
        <v>2557</v>
      </c>
      <c r="H397" s="33" t="s">
        <v>2558</v>
      </c>
      <c r="I397" s="33" t="s">
        <v>2558</v>
      </c>
      <c r="J397" s="6" t="s">
        <v>2232</v>
      </c>
      <c r="K397" s="6" t="s">
        <v>309</v>
      </c>
      <c r="L397" s="6" t="s">
        <v>514</v>
      </c>
      <c r="M397" s="6" t="s">
        <v>469</v>
      </c>
      <c r="N397" s="49" t="s">
        <v>1663</v>
      </c>
      <c r="O397" s="43"/>
      <c r="P397" s="6"/>
      <c r="Q397" s="5"/>
      <c r="R397" s="5"/>
      <c r="S397" s="5"/>
    </row>
    <row r="398" spans="2:19" ht="16.5" customHeight="1" x14ac:dyDescent="0.2">
      <c r="B398" s="6">
        <v>414</v>
      </c>
      <c r="C398" s="6">
        <v>214</v>
      </c>
      <c r="D398" s="45" t="s">
        <v>2315</v>
      </c>
      <c r="E398" s="6" t="s">
        <v>915</v>
      </c>
      <c r="F398" s="33" t="s">
        <v>2334</v>
      </c>
      <c r="G398" s="9" t="s">
        <v>2507</v>
      </c>
      <c r="H398" s="33" t="s">
        <v>2334</v>
      </c>
      <c r="I398" s="33" t="s">
        <v>2334</v>
      </c>
      <c r="J398" s="33" t="s">
        <v>2232</v>
      </c>
      <c r="K398" s="6" t="s">
        <v>2350</v>
      </c>
      <c r="L398" s="6" t="s">
        <v>514</v>
      </c>
      <c r="M398" s="6" t="s">
        <v>469</v>
      </c>
      <c r="N398" s="49" t="s">
        <v>1663</v>
      </c>
      <c r="P398" s="6"/>
      <c r="Q398" s="5"/>
      <c r="R398" s="5"/>
      <c r="S398" s="5"/>
    </row>
    <row r="399" spans="2:19" ht="16.5" customHeight="1" x14ac:dyDescent="0.2">
      <c r="B399" s="6">
        <v>290</v>
      </c>
      <c r="C399" s="6">
        <v>90</v>
      </c>
      <c r="D399" s="33" t="s">
        <v>1673</v>
      </c>
      <c r="E399" s="6" t="s">
        <v>915</v>
      </c>
      <c r="F399" s="45" t="s">
        <v>2409</v>
      </c>
      <c r="G399" s="45" t="s">
        <v>2403</v>
      </c>
      <c r="H399" s="45" t="s">
        <v>2409</v>
      </c>
      <c r="I399" s="45" t="s">
        <v>2409</v>
      </c>
      <c r="J399" s="5" t="s">
        <v>2232</v>
      </c>
      <c r="K399" s="5" t="s">
        <v>123</v>
      </c>
      <c r="L399" s="6" t="s">
        <v>541</v>
      </c>
      <c r="M399" s="6" t="s">
        <v>582</v>
      </c>
      <c r="N399" s="6" t="s">
        <v>1663</v>
      </c>
      <c r="P399" s="6"/>
      <c r="Q399" s="5"/>
      <c r="R399" s="5"/>
      <c r="S399" s="5"/>
    </row>
    <row r="400" spans="2:19" ht="16.5" customHeight="1" x14ac:dyDescent="0.2">
      <c r="B400" s="6">
        <v>470</v>
      </c>
      <c r="C400" s="6">
        <v>270</v>
      </c>
      <c r="D400" s="33" t="s">
        <v>2433</v>
      </c>
      <c r="E400" s="6"/>
      <c r="F400" s="45" t="s">
        <v>2463</v>
      </c>
      <c r="G400" s="9" t="s">
        <v>2489</v>
      </c>
      <c r="H400" s="45" t="s">
        <v>2463</v>
      </c>
      <c r="I400" s="45" t="s">
        <v>2463</v>
      </c>
      <c r="J400" s="6" t="s">
        <v>2232</v>
      </c>
      <c r="K400" s="6" t="s">
        <v>673</v>
      </c>
      <c r="L400" s="6" t="s">
        <v>514</v>
      </c>
      <c r="M400" s="6" t="s">
        <v>469</v>
      </c>
      <c r="N400" s="49" t="s">
        <v>1663</v>
      </c>
      <c r="O400" s="43"/>
      <c r="P400" s="6"/>
      <c r="Q400" s="5"/>
      <c r="R400" s="5"/>
      <c r="S400" s="5"/>
    </row>
    <row r="401" spans="2:19" ht="16.5" customHeight="1" x14ac:dyDescent="0.2">
      <c r="B401" s="6">
        <v>415</v>
      </c>
      <c r="C401" s="6">
        <v>215</v>
      </c>
      <c r="D401" s="45" t="s">
        <v>2316</v>
      </c>
      <c r="E401" s="6" t="s">
        <v>915</v>
      </c>
      <c r="F401" s="33" t="s">
        <v>2335</v>
      </c>
      <c r="G401" s="37" t="s">
        <v>2509</v>
      </c>
      <c r="H401" s="33" t="s">
        <v>2335</v>
      </c>
      <c r="I401" s="33" t="s">
        <v>2335</v>
      </c>
      <c r="J401" s="33" t="s">
        <v>2232</v>
      </c>
      <c r="K401" s="6" t="s">
        <v>2350</v>
      </c>
      <c r="L401" s="6" t="s">
        <v>514</v>
      </c>
      <c r="M401" s="6" t="s">
        <v>469</v>
      </c>
      <c r="N401" s="49" t="s">
        <v>1663</v>
      </c>
      <c r="P401" s="6"/>
      <c r="Q401" s="5"/>
      <c r="R401" s="5"/>
      <c r="S401" s="5"/>
    </row>
    <row r="402" spans="2:19" ht="16.5" customHeight="1" x14ac:dyDescent="0.2">
      <c r="B402" s="6">
        <v>471</v>
      </c>
      <c r="C402" s="6">
        <v>271</v>
      </c>
      <c r="D402" s="33" t="s">
        <v>2434</v>
      </c>
      <c r="E402" s="6"/>
      <c r="F402" s="45" t="s">
        <v>2464</v>
      </c>
      <c r="G402" s="9" t="s">
        <v>2487</v>
      </c>
      <c r="H402" s="45" t="s">
        <v>2464</v>
      </c>
      <c r="I402" s="45" t="s">
        <v>2464</v>
      </c>
      <c r="J402" s="6" t="s">
        <v>2232</v>
      </c>
      <c r="K402" s="6" t="s">
        <v>2471</v>
      </c>
      <c r="L402" s="6" t="s">
        <v>514</v>
      </c>
      <c r="M402" s="6" t="s">
        <v>469</v>
      </c>
      <c r="N402" s="49" t="s">
        <v>1663</v>
      </c>
      <c r="O402" s="43"/>
      <c r="P402" s="6"/>
      <c r="Q402" s="5"/>
      <c r="R402" s="5"/>
      <c r="S402" s="5"/>
    </row>
    <row r="403" spans="2:19" ht="16.5" customHeight="1" x14ac:dyDescent="0.2">
      <c r="B403" s="6">
        <v>433</v>
      </c>
      <c r="C403" s="6">
        <v>233</v>
      </c>
      <c r="D403" s="33" t="s">
        <v>2352</v>
      </c>
      <c r="E403" s="6" t="s">
        <v>915</v>
      </c>
      <c r="F403" s="33" t="s">
        <v>2354</v>
      </c>
      <c r="G403" s="37" t="s">
        <v>2492</v>
      </c>
      <c r="H403" s="33" t="s">
        <v>2354</v>
      </c>
      <c r="I403" s="33" t="s">
        <v>2354</v>
      </c>
      <c r="J403" s="6" t="s">
        <v>2232</v>
      </c>
      <c r="K403" s="6" t="s">
        <v>1805</v>
      </c>
      <c r="L403" s="6" t="s">
        <v>514</v>
      </c>
      <c r="M403" s="6" t="s">
        <v>469</v>
      </c>
      <c r="N403" s="49" t="s">
        <v>1663</v>
      </c>
      <c r="P403" s="6"/>
      <c r="Q403" s="5"/>
      <c r="R403" s="5"/>
      <c r="S403" s="5"/>
    </row>
    <row r="404" spans="2:19" ht="16.5" customHeight="1" x14ac:dyDescent="0.2">
      <c r="B404" s="6">
        <v>416</v>
      </c>
      <c r="C404" s="6">
        <v>216</v>
      </c>
      <c r="D404" s="45" t="s">
        <v>2317</v>
      </c>
      <c r="E404" s="6" t="s">
        <v>915</v>
      </c>
      <c r="F404" s="33" t="s">
        <v>2336</v>
      </c>
      <c r="G404" s="9" t="s">
        <v>2508</v>
      </c>
      <c r="H404" s="33" t="s">
        <v>2336</v>
      </c>
      <c r="I404" s="33" t="s">
        <v>2336</v>
      </c>
      <c r="J404" s="33" t="s">
        <v>2232</v>
      </c>
      <c r="K404" s="6" t="s">
        <v>2350</v>
      </c>
      <c r="L404" s="6" t="s">
        <v>514</v>
      </c>
      <c r="M404" s="6" t="s">
        <v>469</v>
      </c>
      <c r="N404" s="49" t="s">
        <v>1663</v>
      </c>
      <c r="P404" s="6"/>
      <c r="Q404" s="5"/>
      <c r="R404" s="5"/>
      <c r="S404" s="5"/>
    </row>
    <row r="405" spans="2:19" ht="16.5" customHeight="1" x14ac:dyDescent="0.2">
      <c r="B405" s="6">
        <v>432</v>
      </c>
      <c r="C405" s="6">
        <v>232</v>
      </c>
      <c r="D405" s="33" t="s">
        <v>2351</v>
      </c>
      <c r="E405" s="6" t="s">
        <v>915</v>
      </c>
      <c r="F405" s="33" t="s">
        <v>2355</v>
      </c>
      <c r="G405" s="37" t="s">
        <v>2491</v>
      </c>
      <c r="H405" s="33" t="s">
        <v>2355</v>
      </c>
      <c r="I405" s="33" t="s">
        <v>2355</v>
      </c>
      <c r="J405" s="6" t="s">
        <v>2232</v>
      </c>
      <c r="K405" s="6" t="s">
        <v>2356</v>
      </c>
      <c r="L405" s="6" t="s">
        <v>514</v>
      </c>
      <c r="M405" s="6" t="s">
        <v>469</v>
      </c>
      <c r="N405" s="49" t="s">
        <v>1663</v>
      </c>
      <c r="P405" s="6"/>
      <c r="Q405" s="5"/>
      <c r="R405" s="5"/>
      <c r="S405" s="5"/>
    </row>
    <row r="406" spans="2:19" ht="16.5" customHeight="1" x14ac:dyDescent="0.2">
      <c r="B406" s="6">
        <v>472</v>
      </c>
      <c r="C406" s="6">
        <v>272</v>
      </c>
      <c r="D406" s="33" t="s">
        <v>2435</v>
      </c>
      <c r="E406" s="6"/>
      <c r="F406" s="45" t="s">
        <v>2465</v>
      </c>
      <c r="G406" s="9" t="s">
        <v>2486</v>
      </c>
      <c r="H406" s="45" t="s">
        <v>2465</v>
      </c>
      <c r="I406" s="45" t="s">
        <v>2465</v>
      </c>
      <c r="J406" s="6" t="s">
        <v>2232</v>
      </c>
      <c r="K406" s="6" t="s">
        <v>2471</v>
      </c>
      <c r="L406" s="6" t="s">
        <v>514</v>
      </c>
      <c r="M406" s="6" t="s">
        <v>469</v>
      </c>
      <c r="N406" s="49" t="s">
        <v>1663</v>
      </c>
      <c r="O406" s="43"/>
      <c r="P406" s="6"/>
      <c r="Q406" s="5"/>
      <c r="R406" s="5"/>
      <c r="S406" s="5"/>
    </row>
    <row r="407" spans="2:19" ht="16.5" customHeight="1" x14ac:dyDescent="0.2">
      <c r="B407" s="6">
        <v>482</v>
      </c>
      <c r="C407" s="6">
        <v>282</v>
      </c>
      <c r="D407" s="33" t="s">
        <v>2445</v>
      </c>
      <c r="E407" s="6"/>
      <c r="F407" s="45" t="s">
        <v>2564</v>
      </c>
      <c r="G407" s="9" t="s">
        <v>2563</v>
      </c>
      <c r="H407" s="33" t="s">
        <v>2564</v>
      </c>
      <c r="I407" s="33" t="s">
        <v>2564</v>
      </c>
      <c r="J407" s="6" t="s">
        <v>2232</v>
      </c>
      <c r="K407" s="6" t="s">
        <v>2516</v>
      </c>
      <c r="L407" s="6" t="s">
        <v>514</v>
      </c>
      <c r="M407" s="6" t="s">
        <v>469</v>
      </c>
      <c r="N407" s="49" t="s">
        <v>1663</v>
      </c>
      <c r="O407" s="43"/>
      <c r="P407" s="6"/>
      <c r="Q407" s="5"/>
      <c r="R407" s="5"/>
      <c r="S407" s="5"/>
    </row>
    <row r="408" spans="2:19" ht="16.5" customHeight="1" x14ac:dyDescent="0.2">
      <c r="B408" s="6">
        <v>406</v>
      </c>
      <c r="C408" s="6">
        <v>206</v>
      </c>
      <c r="D408" s="33" t="s">
        <v>2254</v>
      </c>
      <c r="E408" s="6" t="s">
        <v>915</v>
      </c>
      <c r="F408" s="33" t="s">
        <v>2408</v>
      </c>
      <c r="G408" s="9" t="s">
        <v>2478</v>
      </c>
      <c r="H408" s="33" t="s">
        <v>2408</v>
      </c>
      <c r="I408" s="33" t="s">
        <v>2408</v>
      </c>
      <c r="J408" s="33" t="s">
        <v>2232</v>
      </c>
      <c r="K408" s="6" t="s">
        <v>1989</v>
      </c>
      <c r="L408" s="6" t="s">
        <v>514</v>
      </c>
      <c r="M408" s="49" t="s">
        <v>469</v>
      </c>
      <c r="N408" s="49" t="s">
        <v>1663</v>
      </c>
      <c r="P408" s="6"/>
      <c r="Q408" s="5"/>
      <c r="R408" s="5"/>
      <c r="S408" s="5"/>
    </row>
    <row r="409" spans="2:19" ht="16.5" customHeight="1" x14ac:dyDescent="0.2">
      <c r="B409" s="6">
        <v>473</v>
      </c>
      <c r="C409" s="6">
        <v>273</v>
      </c>
      <c r="D409" s="33" t="s">
        <v>2436</v>
      </c>
      <c r="E409" s="6"/>
      <c r="F409" s="45" t="s">
        <v>2466</v>
      </c>
      <c r="G409" s="9" t="s">
        <v>2485</v>
      </c>
      <c r="H409" s="45" t="s">
        <v>2466</v>
      </c>
      <c r="I409" s="45" t="s">
        <v>2466</v>
      </c>
      <c r="J409" s="6" t="s">
        <v>2232</v>
      </c>
      <c r="K409" s="6" t="s">
        <v>2471</v>
      </c>
      <c r="L409" s="6" t="s">
        <v>514</v>
      </c>
      <c r="M409" s="6" t="s">
        <v>469</v>
      </c>
      <c r="N409" s="49" t="s">
        <v>1663</v>
      </c>
      <c r="O409" s="43"/>
      <c r="P409" s="6"/>
      <c r="Q409" s="5"/>
      <c r="R409" s="5"/>
      <c r="S409" s="5"/>
    </row>
    <row r="410" spans="2:19" ht="16.5" customHeight="1" x14ac:dyDescent="0.2">
      <c r="B410" s="6">
        <v>474</v>
      </c>
      <c r="C410" s="6">
        <v>274</v>
      </c>
      <c r="D410" s="33" t="s">
        <v>2437</v>
      </c>
      <c r="E410" s="6"/>
      <c r="F410" s="45" t="s">
        <v>2467</v>
      </c>
      <c r="G410" s="9" t="s">
        <v>2484</v>
      </c>
      <c r="H410" s="45" t="s">
        <v>2467</v>
      </c>
      <c r="I410" s="45" t="s">
        <v>2467</v>
      </c>
      <c r="J410" s="6" t="s">
        <v>2232</v>
      </c>
      <c r="K410" s="6" t="s">
        <v>2471</v>
      </c>
      <c r="L410" s="6" t="s">
        <v>514</v>
      </c>
      <c r="M410" s="6" t="s">
        <v>469</v>
      </c>
      <c r="N410" s="49" t="s">
        <v>1663</v>
      </c>
      <c r="O410" s="43"/>
      <c r="P410" s="6"/>
      <c r="Q410" s="5"/>
      <c r="R410" s="5"/>
      <c r="S410" s="5"/>
    </row>
    <row r="411" spans="2:19" ht="16.5" customHeight="1" x14ac:dyDescent="0.2">
      <c r="B411" s="6">
        <v>479</v>
      </c>
      <c r="C411" s="6">
        <v>279</v>
      </c>
      <c r="D411" s="33" t="s">
        <v>2442</v>
      </c>
      <c r="E411" s="6"/>
      <c r="F411" s="45" t="s">
        <v>2472</v>
      </c>
      <c r="G411" s="37" t="s">
        <v>2481</v>
      </c>
      <c r="H411" s="33" t="s">
        <v>2472</v>
      </c>
      <c r="I411" s="33" t="s">
        <v>2472</v>
      </c>
      <c r="J411" s="6" t="s">
        <v>2232</v>
      </c>
      <c r="K411" s="6" t="s">
        <v>2471</v>
      </c>
      <c r="L411" s="6" t="s">
        <v>514</v>
      </c>
      <c r="M411" s="6" t="s">
        <v>469</v>
      </c>
      <c r="N411" s="49" t="s">
        <v>1663</v>
      </c>
      <c r="O411" s="43"/>
      <c r="P411" s="6"/>
      <c r="Q411" s="5"/>
      <c r="R411" s="5"/>
      <c r="S411" s="5"/>
    </row>
    <row r="412" spans="2:19" ht="16.5" customHeight="1" x14ac:dyDescent="0.2">
      <c r="B412" s="6">
        <v>480</v>
      </c>
      <c r="C412" s="6">
        <v>280</v>
      </c>
      <c r="D412" s="33" t="s">
        <v>2443</v>
      </c>
      <c r="E412" s="6"/>
      <c r="F412" s="45" t="s">
        <v>2479</v>
      </c>
      <c r="G412" s="37" t="s">
        <v>2480</v>
      </c>
      <c r="H412" s="33" t="s">
        <v>2479</v>
      </c>
      <c r="I412" s="33" t="s">
        <v>2479</v>
      </c>
      <c r="J412" s="6" t="s">
        <v>2232</v>
      </c>
      <c r="K412" s="6" t="s">
        <v>180</v>
      </c>
      <c r="L412" s="6" t="s">
        <v>514</v>
      </c>
      <c r="M412" s="6" t="s">
        <v>469</v>
      </c>
      <c r="N412" s="49" t="s">
        <v>1663</v>
      </c>
      <c r="O412" s="43"/>
      <c r="P412" s="6"/>
      <c r="Q412" s="5"/>
      <c r="R412" s="5"/>
      <c r="S412" s="5"/>
    </row>
    <row r="413" spans="2:19" ht="16.5" customHeight="1" x14ac:dyDescent="0.2">
      <c r="B413" s="6">
        <v>503</v>
      </c>
      <c r="C413" s="6">
        <v>303</v>
      </c>
      <c r="D413" s="33" t="s">
        <v>2539</v>
      </c>
      <c r="E413" s="6"/>
      <c r="F413" s="45" t="s">
        <v>2582</v>
      </c>
      <c r="G413" s="9" t="s">
        <v>2581</v>
      </c>
      <c r="H413" s="33" t="s">
        <v>2582</v>
      </c>
      <c r="I413" s="33" t="s">
        <v>2582</v>
      </c>
      <c r="J413" s="6" t="s">
        <v>2232</v>
      </c>
      <c r="K413" s="6" t="s">
        <v>2583</v>
      </c>
      <c r="L413" s="6" t="s">
        <v>514</v>
      </c>
      <c r="M413" s="6" t="s">
        <v>469</v>
      </c>
      <c r="N413" s="49" t="s">
        <v>1663</v>
      </c>
      <c r="O413" s="43"/>
      <c r="P413" s="6"/>
      <c r="Q413" s="5"/>
      <c r="R413" s="5"/>
      <c r="S413" s="5"/>
    </row>
    <row r="414" spans="2:19" ht="16.5" customHeight="1" x14ac:dyDescent="0.2">
      <c r="B414" s="6">
        <v>417</v>
      </c>
      <c r="C414" s="6">
        <v>217</v>
      </c>
      <c r="D414" s="45" t="s">
        <v>2318</v>
      </c>
      <c r="E414" s="6" t="s">
        <v>915</v>
      </c>
      <c r="F414" s="33" t="s">
        <v>2337</v>
      </c>
      <c r="G414" s="37" t="s">
        <v>2493</v>
      </c>
      <c r="H414" s="33" t="s">
        <v>2337</v>
      </c>
      <c r="I414" s="33" t="s">
        <v>2337</v>
      </c>
      <c r="J414" s="33" t="s">
        <v>2232</v>
      </c>
      <c r="K414" s="6" t="s">
        <v>2350</v>
      </c>
      <c r="L414" s="6" t="s">
        <v>514</v>
      </c>
      <c r="M414" s="6" t="s">
        <v>469</v>
      </c>
      <c r="N414" s="49" t="s">
        <v>1663</v>
      </c>
      <c r="P414" s="6"/>
      <c r="Q414" s="5"/>
      <c r="R414" s="5"/>
      <c r="S414" s="5"/>
    </row>
    <row r="415" spans="2:19" ht="16.5" customHeight="1" x14ac:dyDescent="0.2">
      <c r="B415" s="6">
        <v>504</v>
      </c>
      <c r="C415" s="6">
        <v>304</v>
      </c>
      <c r="D415" s="33" t="s">
        <v>2540</v>
      </c>
      <c r="E415" s="6"/>
      <c r="F415" s="45" t="s">
        <v>2585</v>
      </c>
      <c r="G415" s="37" t="s">
        <v>2584</v>
      </c>
      <c r="H415" s="33" t="s">
        <v>2585</v>
      </c>
      <c r="I415" s="33" t="s">
        <v>2585</v>
      </c>
      <c r="J415" s="6" t="s">
        <v>2232</v>
      </c>
      <c r="K415" s="6" t="s">
        <v>2576</v>
      </c>
      <c r="L415" s="6" t="s">
        <v>514</v>
      </c>
      <c r="M415" s="6" t="s">
        <v>469</v>
      </c>
      <c r="N415" s="49" t="s">
        <v>1663</v>
      </c>
      <c r="O415" s="43"/>
      <c r="P415" s="6"/>
      <c r="Q415" s="5"/>
      <c r="R415" s="5"/>
      <c r="S415" s="5"/>
    </row>
    <row r="416" spans="2:19" ht="16.5" customHeight="1" x14ac:dyDescent="0.2">
      <c r="B416" s="6">
        <v>494</v>
      </c>
      <c r="C416" s="6">
        <v>294</v>
      </c>
      <c r="D416" s="33" t="s">
        <v>2530</v>
      </c>
      <c r="E416" s="6"/>
      <c r="F416" s="45" t="s">
        <v>2559</v>
      </c>
      <c r="G416" s="9" t="s">
        <v>2556</v>
      </c>
      <c r="H416" s="33" t="s">
        <v>2559</v>
      </c>
      <c r="I416" s="33" t="s">
        <v>2559</v>
      </c>
      <c r="J416" s="6" t="s">
        <v>2232</v>
      </c>
      <c r="K416" s="6" t="s">
        <v>1095</v>
      </c>
      <c r="L416" s="6" t="s">
        <v>514</v>
      </c>
      <c r="M416" s="6" t="s">
        <v>469</v>
      </c>
      <c r="N416" s="49" t="s">
        <v>1663</v>
      </c>
      <c r="O416" s="43"/>
      <c r="P416" s="6"/>
      <c r="Q416" s="5"/>
      <c r="R416" s="5"/>
      <c r="S416" s="5"/>
    </row>
    <row r="417" spans="2:19" ht="16.5" customHeight="1" x14ac:dyDescent="0.2">
      <c r="B417" s="6">
        <v>475</v>
      </c>
      <c r="C417" s="6">
        <v>275</v>
      </c>
      <c r="D417" s="33" t="s">
        <v>2438</v>
      </c>
      <c r="E417" s="6"/>
      <c r="F417" s="45" t="s">
        <v>2468</v>
      </c>
      <c r="G417" s="9" t="s">
        <v>2483</v>
      </c>
      <c r="H417" s="45" t="s">
        <v>2468</v>
      </c>
      <c r="I417" s="45" t="s">
        <v>2468</v>
      </c>
      <c r="J417" s="6" t="s">
        <v>2232</v>
      </c>
      <c r="K417" s="6" t="s">
        <v>2350</v>
      </c>
      <c r="L417" s="6" t="s">
        <v>514</v>
      </c>
      <c r="M417" s="6" t="s">
        <v>469</v>
      </c>
      <c r="N417" s="49" t="s">
        <v>1663</v>
      </c>
      <c r="O417" s="43"/>
      <c r="P417" s="6"/>
      <c r="Q417" s="5"/>
      <c r="R417" s="5"/>
      <c r="S417" s="5"/>
    </row>
    <row r="418" spans="2:19" ht="16.5" customHeight="1" x14ac:dyDescent="0.2">
      <c r="B418" s="6">
        <v>418</v>
      </c>
      <c r="C418" s="6">
        <v>218</v>
      </c>
      <c r="D418" s="45" t="s">
        <v>2319</v>
      </c>
      <c r="E418" s="6" t="s">
        <v>915</v>
      </c>
      <c r="F418" s="33" t="s">
        <v>2338</v>
      </c>
      <c r="G418" s="37" t="s">
        <v>2510</v>
      </c>
      <c r="H418" s="33" t="s">
        <v>2338</v>
      </c>
      <c r="I418" s="33" t="s">
        <v>2338</v>
      </c>
      <c r="J418" s="33" t="s">
        <v>2232</v>
      </c>
      <c r="K418" s="6" t="s">
        <v>2350</v>
      </c>
      <c r="L418" s="6" t="s">
        <v>514</v>
      </c>
      <c r="M418" s="6" t="s">
        <v>469</v>
      </c>
      <c r="N418" s="49" t="s">
        <v>1663</v>
      </c>
      <c r="P418" s="6"/>
      <c r="Q418" s="5"/>
      <c r="R418" s="5"/>
      <c r="S418" s="5"/>
    </row>
    <row r="419" spans="2:19" ht="16.5" customHeight="1" x14ac:dyDescent="0.2">
      <c r="B419" s="6">
        <v>510</v>
      </c>
      <c r="C419" s="6">
        <v>310</v>
      </c>
      <c r="D419" s="33" t="s">
        <v>2546</v>
      </c>
      <c r="E419" s="6"/>
      <c r="F419" s="45" t="s">
        <v>2630</v>
      </c>
      <c r="G419" s="9" t="s">
        <v>2629</v>
      </c>
      <c r="H419" s="33" t="s">
        <v>2630</v>
      </c>
      <c r="I419" s="33" t="s">
        <v>2630</v>
      </c>
      <c r="J419" s="6" t="s">
        <v>2232</v>
      </c>
      <c r="K419" s="6" t="s">
        <v>2350</v>
      </c>
      <c r="L419" s="6" t="s">
        <v>514</v>
      </c>
      <c r="M419" s="6" t="s">
        <v>469</v>
      </c>
      <c r="N419" s="49" t="s">
        <v>1663</v>
      </c>
      <c r="O419" s="43"/>
      <c r="P419" s="6"/>
      <c r="Q419" s="5"/>
      <c r="R419" s="5"/>
      <c r="S419" s="5"/>
    </row>
    <row r="420" spans="2:19" ht="16.5" customHeight="1" x14ac:dyDescent="0.2">
      <c r="B420" s="6">
        <v>456</v>
      </c>
      <c r="C420" s="6">
        <v>256</v>
      </c>
      <c r="D420" s="33" t="s">
        <v>2387</v>
      </c>
      <c r="E420" s="6"/>
      <c r="F420" s="45" t="s">
        <v>2405</v>
      </c>
      <c r="G420" s="37" t="s">
        <v>2404</v>
      </c>
      <c r="H420" s="33" t="s">
        <v>2405</v>
      </c>
      <c r="I420" s="33" t="s">
        <v>2405</v>
      </c>
      <c r="J420" s="6" t="s">
        <v>2232</v>
      </c>
      <c r="K420" s="6" t="s">
        <v>822</v>
      </c>
      <c r="L420" s="6" t="s">
        <v>541</v>
      </c>
      <c r="M420" s="6" t="s">
        <v>469</v>
      </c>
      <c r="N420" s="49" t="s">
        <v>1663</v>
      </c>
      <c r="O420" s="43"/>
      <c r="P420" s="6"/>
      <c r="Q420" s="5"/>
      <c r="R420" s="5"/>
      <c r="S420" s="5"/>
    </row>
    <row r="421" spans="2:19" ht="16.5" customHeight="1" x14ac:dyDescent="0.2">
      <c r="B421" s="6">
        <v>490</v>
      </c>
      <c r="C421" s="6">
        <v>290</v>
      </c>
      <c r="D421" s="33" t="s">
        <v>2526</v>
      </c>
      <c r="E421" s="6"/>
      <c r="F421" s="45" t="s">
        <v>2551</v>
      </c>
      <c r="G421" s="9" t="s">
        <v>2590</v>
      </c>
      <c r="H421" s="45" t="s">
        <v>2551</v>
      </c>
      <c r="I421" s="45" t="s">
        <v>2551</v>
      </c>
      <c r="J421" s="6" t="s">
        <v>2232</v>
      </c>
      <c r="K421" s="6" t="s">
        <v>53</v>
      </c>
      <c r="L421" s="6" t="s">
        <v>514</v>
      </c>
      <c r="M421" s="6" t="s">
        <v>469</v>
      </c>
      <c r="N421" s="49" t="s">
        <v>1663</v>
      </c>
      <c r="O421" s="43"/>
      <c r="P421" s="6"/>
      <c r="Q421" s="5"/>
      <c r="R421" s="5"/>
      <c r="S421" s="5"/>
    </row>
    <row r="422" spans="2:19" ht="16.5" customHeight="1" x14ac:dyDescent="0.2">
      <c r="B422" s="6">
        <v>539</v>
      </c>
      <c r="C422" s="6">
        <v>339</v>
      </c>
      <c r="D422" s="33" t="s">
        <v>2622</v>
      </c>
      <c r="E422" s="6"/>
      <c r="F422" s="45" t="s">
        <v>2710</v>
      </c>
      <c r="G422" s="9" t="s">
        <v>2711</v>
      </c>
      <c r="H422" s="33" t="s">
        <v>2710</v>
      </c>
      <c r="I422" s="33" t="s">
        <v>2710</v>
      </c>
      <c r="J422" s="6" t="s">
        <v>2706</v>
      </c>
      <c r="K422" s="6" t="s">
        <v>2707</v>
      </c>
      <c r="L422" s="6" t="s">
        <v>514</v>
      </c>
      <c r="M422" s="6" t="s">
        <v>469</v>
      </c>
      <c r="N422" s="49" t="s">
        <v>1663</v>
      </c>
      <c r="O422" s="43"/>
      <c r="P422" s="6"/>
      <c r="Q422" s="5"/>
      <c r="R422" s="5"/>
      <c r="S422" s="5"/>
    </row>
    <row r="423" spans="2:19" ht="16.5" customHeight="1" x14ac:dyDescent="0.2">
      <c r="B423" s="6">
        <v>537</v>
      </c>
      <c r="C423" s="6">
        <v>337</v>
      </c>
      <c r="D423" s="33" t="s">
        <v>2620</v>
      </c>
      <c r="E423" s="6"/>
      <c r="F423" s="45" t="s">
        <v>2704</v>
      </c>
      <c r="G423" s="9" t="s">
        <v>2705</v>
      </c>
      <c r="H423" s="33" t="s">
        <v>2704</v>
      </c>
      <c r="I423" s="33" t="s">
        <v>2704</v>
      </c>
      <c r="J423" s="6" t="s">
        <v>2706</v>
      </c>
      <c r="K423" s="6" t="s">
        <v>2707</v>
      </c>
      <c r="L423" s="6" t="s">
        <v>514</v>
      </c>
      <c r="M423" s="6" t="s">
        <v>469</v>
      </c>
      <c r="N423" s="49" t="s">
        <v>1663</v>
      </c>
      <c r="O423" s="43"/>
      <c r="P423" s="6"/>
      <c r="Q423" s="5"/>
      <c r="R423" s="5"/>
      <c r="S423" s="5"/>
    </row>
    <row r="424" spans="2:19" ht="16.5" customHeight="1" x14ac:dyDescent="0.2">
      <c r="B424" s="6">
        <v>487</v>
      </c>
      <c r="C424" s="6">
        <v>287</v>
      </c>
      <c r="D424" s="33" t="s">
        <v>2450</v>
      </c>
      <c r="E424" s="6"/>
      <c r="F424" s="45" t="s">
        <v>2523</v>
      </c>
      <c r="G424" s="37" t="s">
        <v>2561</v>
      </c>
      <c r="H424" s="33" t="s">
        <v>2523</v>
      </c>
      <c r="I424" s="33" t="s">
        <v>2523</v>
      </c>
      <c r="J424" s="6" t="s">
        <v>2232</v>
      </c>
      <c r="K424" s="6" t="s">
        <v>44</v>
      </c>
      <c r="L424" s="6" t="s">
        <v>514</v>
      </c>
      <c r="M424" s="6" t="s">
        <v>469</v>
      </c>
      <c r="N424" s="49" t="s">
        <v>1663</v>
      </c>
      <c r="O424" s="43"/>
      <c r="P424" s="6"/>
      <c r="Q424" s="5"/>
      <c r="R424" s="5"/>
      <c r="S424" s="5"/>
    </row>
    <row r="425" spans="2:19" ht="16.5" customHeight="1" x14ac:dyDescent="0.2">
      <c r="B425" s="6">
        <v>538</v>
      </c>
      <c r="C425" s="6">
        <v>338</v>
      </c>
      <c r="D425" s="33" t="s">
        <v>2621</v>
      </c>
      <c r="E425" s="6"/>
      <c r="F425" s="45" t="s">
        <v>2708</v>
      </c>
      <c r="G425" s="9" t="s">
        <v>2709</v>
      </c>
      <c r="H425" s="33" t="s">
        <v>2708</v>
      </c>
      <c r="I425" s="33" t="s">
        <v>2708</v>
      </c>
      <c r="J425" s="6" t="s">
        <v>2706</v>
      </c>
      <c r="K425" s="6" t="s">
        <v>2707</v>
      </c>
      <c r="L425" s="6" t="s">
        <v>514</v>
      </c>
      <c r="M425" s="6" t="s">
        <v>469</v>
      </c>
      <c r="N425" s="49" t="s">
        <v>1663</v>
      </c>
      <c r="O425" s="43"/>
      <c r="P425" s="6"/>
      <c r="Q425" s="5"/>
      <c r="R425" s="5"/>
      <c r="S425" s="5"/>
    </row>
    <row r="426" spans="2:19" ht="16.5" customHeight="1" x14ac:dyDescent="0.2">
      <c r="B426" s="6">
        <v>540</v>
      </c>
      <c r="C426" s="6">
        <v>340</v>
      </c>
      <c r="D426" s="33" t="s">
        <v>2712</v>
      </c>
      <c r="E426" s="6"/>
      <c r="F426" s="45" t="s">
        <v>2746</v>
      </c>
      <c r="G426" s="9" t="s">
        <v>2720</v>
      </c>
      <c r="H426" s="33" t="s">
        <v>2746</v>
      </c>
      <c r="I426" s="33" t="s">
        <v>2746</v>
      </c>
      <c r="J426" s="6" t="s">
        <v>2706</v>
      </c>
      <c r="K426" s="6" t="s">
        <v>2707</v>
      </c>
      <c r="L426" s="6" t="s">
        <v>514</v>
      </c>
      <c r="M426" s="6" t="s">
        <v>469</v>
      </c>
      <c r="N426" s="49" t="s">
        <v>1663</v>
      </c>
      <c r="O426" s="43"/>
      <c r="P426" s="6"/>
      <c r="Q426" s="5"/>
      <c r="R426" s="5"/>
      <c r="S426" s="5"/>
    </row>
    <row r="427" spans="2:19" ht="16.5" customHeight="1" x14ac:dyDescent="0.2">
      <c r="B427" s="6">
        <v>491</v>
      </c>
      <c r="C427" s="6">
        <v>291</v>
      </c>
      <c r="D427" s="33" t="s">
        <v>2527</v>
      </c>
      <c r="E427" s="6"/>
      <c r="F427" s="45" t="s">
        <v>2552</v>
      </c>
      <c r="G427" s="9" t="s">
        <v>2591</v>
      </c>
      <c r="H427" s="45" t="s">
        <v>2552</v>
      </c>
      <c r="I427" s="45" t="s">
        <v>2552</v>
      </c>
      <c r="J427" s="6" t="s">
        <v>2232</v>
      </c>
      <c r="K427" s="6" t="s">
        <v>1688</v>
      </c>
      <c r="L427" s="6" t="s">
        <v>514</v>
      </c>
      <c r="M427" s="6" t="s">
        <v>469</v>
      </c>
      <c r="N427" s="49" t="s">
        <v>1663</v>
      </c>
      <c r="O427" s="43"/>
      <c r="P427" s="6"/>
      <c r="Q427" s="5"/>
      <c r="R427" s="5"/>
      <c r="S427" s="5"/>
    </row>
    <row r="428" spans="2:19" ht="16.5" customHeight="1" x14ac:dyDescent="0.2">
      <c r="B428" s="6">
        <v>486</v>
      </c>
      <c r="C428" s="6">
        <v>286</v>
      </c>
      <c r="D428" s="33" t="s">
        <v>2449</v>
      </c>
      <c r="E428" s="6"/>
      <c r="F428" s="45" t="s">
        <v>2522</v>
      </c>
      <c r="G428" s="9" t="s">
        <v>2562</v>
      </c>
      <c r="H428" s="33" t="s">
        <v>2522</v>
      </c>
      <c r="I428" s="33" t="s">
        <v>2522</v>
      </c>
      <c r="J428" s="6" t="s">
        <v>2232</v>
      </c>
      <c r="K428" s="6" t="s">
        <v>28</v>
      </c>
      <c r="L428" s="6" t="s">
        <v>514</v>
      </c>
      <c r="M428" s="6" t="s">
        <v>469</v>
      </c>
      <c r="N428" s="49" t="s">
        <v>1663</v>
      </c>
      <c r="O428" s="43"/>
      <c r="P428" s="6"/>
      <c r="Q428" s="5"/>
      <c r="R428" s="5"/>
      <c r="S428" s="5"/>
    </row>
    <row r="429" spans="2:19" ht="16.5" customHeight="1" x14ac:dyDescent="0.2">
      <c r="B429" s="6">
        <v>525</v>
      </c>
      <c r="C429" s="6">
        <v>325</v>
      </c>
      <c r="D429" s="33" t="s">
        <v>2608</v>
      </c>
      <c r="E429" s="6"/>
      <c r="F429" s="45" t="s">
        <v>2683</v>
      </c>
      <c r="G429" s="9" t="s">
        <v>2678</v>
      </c>
      <c r="H429" s="33" t="s">
        <v>2683</v>
      </c>
      <c r="I429" s="33" t="s">
        <v>2683</v>
      </c>
      <c r="J429" s="6" t="s">
        <v>2232</v>
      </c>
      <c r="K429" s="6" t="s">
        <v>2681</v>
      </c>
      <c r="L429" s="6" t="s">
        <v>514</v>
      </c>
      <c r="M429" s="6" t="s">
        <v>469</v>
      </c>
      <c r="N429" s="49" t="s">
        <v>1663</v>
      </c>
      <c r="O429" s="43"/>
      <c r="P429" s="6"/>
      <c r="Q429" s="5"/>
      <c r="R429" s="5"/>
      <c r="S429" s="5"/>
    </row>
    <row r="430" spans="2:19" ht="16.5" customHeight="1" x14ac:dyDescent="0.2">
      <c r="B430" s="6">
        <v>485</v>
      </c>
      <c r="C430" s="6">
        <v>285</v>
      </c>
      <c r="D430" s="33" t="s">
        <v>2448</v>
      </c>
      <c r="E430" s="6"/>
      <c r="F430" s="45" t="s">
        <v>2521</v>
      </c>
      <c r="G430" s="9" t="s">
        <v>2697</v>
      </c>
      <c r="H430" s="33" t="s">
        <v>2521</v>
      </c>
      <c r="I430" s="33" t="s">
        <v>2521</v>
      </c>
      <c r="J430" s="6" t="s">
        <v>2232</v>
      </c>
      <c r="K430" s="6" t="s">
        <v>1805</v>
      </c>
      <c r="L430" s="6" t="s">
        <v>514</v>
      </c>
      <c r="M430" s="6" t="s">
        <v>469</v>
      </c>
      <c r="N430" s="49" t="s">
        <v>1663</v>
      </c>
      <c r="O430" s="43"/>
      <c r="P430" s="6"/>
      <c r="Q430" s="5"/>
      <c r="R430" s="5"/>
      <c r="S430" s="5"/>
    </row>
    <row r="431" spans="2:19" ht="16.5" customHeight="1" x14ac:dyDescent="0.2">
      <c r="B431" s="6">
        <v>502</v>
      </c>
      <c r="C431" s="6">
        <v>302</v>
      </c>
      <c r="D431" s="33" t="s">
        <v>2538</v>
      </c>
      <c r="E431" s="6"/>
      <c r="F431" s="45" t="s">
        <v>2572</v>
      </c>
      <c r="G431" s="37" t="s">
        <v>2575</v>
      </c>
      <c r="H431" s="33" t="s">
        <v>2572</v>
      </c>
      <c r="I431" s="33" t="s">
        <v>2572</v>
      </c>
      <c r="J431" s="6" t="s">
        <v>2232</v>
      </c>
      <c r="K431" s="6" t="s">
        <v>2576</v>
      </c>
      <c r="L431" s="6" t="s">
        <v>514</v>
      </c>
      <c r="M431" s="6" t="s">
        <v>469</v>
      </c>
      <c r="N431" s="49" t="s">
        <v>1663</v>
      </c>
      <c r="O431" s="43"/>
      <c r="P431" s="6"/>
      <c r="Q431" s="5"/>
      <c r="R431" s="5"/>
      <c r="S431" s="5"/>
    </row>
    <row r="432" spans="2:19" ht="16.5" customHeight="1" x14ac:dyDescent="0.2">
      <c r="B432" s="6">
        <v>528</v>
      </c>
      <c r="C432" s="6">
        <v>328</v>
      </c>
      <c r="D432" s="33" t="s">
        <v>2611</v>
      </c>
      <c r="E432" s="6"/>
      <c r="F432" s="45" t="s">
        <v>2695</v>
      </c>
      <c r="G432" s="9" t="s">
        <v>2696</v>
      </c>
      <c r="H432" s="33" t="s">
        <v>2695</v>
      </c>
      <c r="I432" s="33" t="s">
        <v>2695</v>
      </c>
      <c r="J432" s="6" t="s">
        <v>2232</v>
      </c>
      <c r="K432" s="6" t="s">
        <v>184</v>
      </c>
      <c r="L432" s="6" t="s">
        <v>514</v>
      </c>
      <c r="M432" s="6" t="s">
        <v>469</v>
      </c>
      <c r="N432" s="49" t="s">
        <v>1663</v>
      </c>
      <c r="O432" s="43"/>
      <c r="P432" s="6"/>
      <c r="Q432" s="5"/>
      <c r="R432" s="5"/>
      <c r="S432" s="5"/>
    </row>
    <row r="433" spans="2:19" ht="16.5" customHeight="1" x14ac:dyDescent="0.2">
      <c r="B433" s="6">
        <v>481</v>
      </c>
      <c r="C433" s="6">
        <v>281</v>
      </c>
      <c r="D433" s="33" t="s">
        <v>2444</v>
      </c>
      <c r="E433" s="6"/>
      <c r="F433" s="45" t="s">
        <v>2566</v>
      </c>
      <c r="G433" s="9" t="s">
        <v>2565</v>
      </c>
      <c r="H433" s="33" t="s">
        <v>2566</v>
      </c>
      <c r="I433" s="33" t="s">
        <v>2566</v>
      </c>
      <c r="J433" s="6" t="s">
        <v>2232</v>
      </c>
      <c r="K433" s="6" t="s">
        <v>180</v>
      </c>
      <c r="L433" s="6" t="s">
        <v>514</v>
      </c>
      <c r="M433" s="6" t="s">
        <v>469</v>
      </c>
      <c r="N433" s="49" t="s">
        <v>1663</v>
      </c>
      <c r="O433" s="43"/>
      <c r="P433" s="6"/>
      <c r="Q433" s="5"/>
      <c r="R433" s="5"/>
      <c r="S433" s="5"/>
    </row>
    <row r="434" spans="2:19" ht="16.5" customHeight="1" x14ac:dyDescent="0.2">
      <c r="B434" s="6">
        <v>476</v>
      </c>
      <c r="C434" s="6">
        <v>276</v>
      </c>
      <c r="D434" s="33" t="s">
        <v>2439</v>
      </c>
      <c r="E434" s="6"/>
      <c r="F434" s="45" t="s">
        <v>2469</v>
      </c>
      <c r="G434" s="9" t="s">
        <v>2482</v>
      </c>
      <c r="H434" s="45" t="s">
        <v>2469</v>
      </c>
      <c r="I434" s="45" t="s">
        <v>2469</v>
      </c>
      <c r="J434" s="6" t="s">
        <v>2232</v>
      </c>
      <c r="K434" s="6" t="s">
        <v>2471</v>
      </c>
      <c r="L434" s="6" t="s">
        <v>514</v>
      </c>
      <c r="M434" s="6" t="s">
        <v>469</v>
      </c>
      <c r="N434" s="49" t="s">
        <v>1663</v>
      </c>
      <c r="O434" s="43"/>
      <c r="P434" s="6"/>
      <c r="Q434" s="5"/>
      <c r="R434" s="5"/>
      <c r="S434" s="5"/>
    </row>
    <row r="435" spans="2:19" ht="16.5" customHeight="1" x14ac:dyDescent="0.2">
      <c r="B435" s="6">
        <v>477</v>
      </c>
      <c r="C435" s="6">
        <v>277</v>
      </c>
      <c r="D435" s="33" t="s">
        <v>2440</v>
      </c>
      <c r="E435" s="6"/>
      <c r="F435" s="45" t="s">
        <v>2470</v>
      </c>
      <c r="G435" s="9" t="s">
        <v>2488</v>
      </c>
      <c r="H435" s="45" t="s">
        <v>2470</v>
      </c>
      <c r="I435" s="45" t="s">
        <v>2470</v>
      </c>
      <c r="J435" s="6" t="s">
        <v>2232</v>
      </c>
      <c r="K435" s="6" t="s">
        <v>2471</v>
      </c>
      <c r="L435" s="6" t="s">
        <v>514</v>
      </c>
      <c r="M435" s="6" t="s">
        <v>469</v>
      </c>
      <c r="N435" s="49" t="s">
        <v>1663</v>
      </c>
      <c r="O435" s="43"/>
      <c r="P435" s="6"/>
      <c r="Q435" s="5"/>
      <c r="R435" s="5"/>
      <c r="S435" s="5"/>
    </row>
    <row r="436" spans="2:19" ht="16.5" customHeight="1" x14ac:dyDescent="0.2">
      <c r="B436" s="6">
        <v>509</v>
      </c>
      <c r="C436" s="6">
        <v>309</v>
      </c>
      <c r="D436" s="33" t="s">
        <v>2542</v>
      </c>
      <c r="E436" s="6"/>
      <c r="F436" s="45" t="s">
        <v>2579</v>
      </c>
      <c r="G436" s="9" t="s">
        <v>2580</v>
      </c>
      <c r="H436" s="33" t="s">
        <v>2579</v>
      </c>
      <c r="I436" s="33" t="s">
        <v>2579</v>
      </c>
      <c r="J436" s="6" t="s">
        <v>2232</v>
      </c>
      <c r="K436" s="6" t="s">
        <v>113</v>
      </c>
      <c r="L436" s="6" t="s">
        <v>514</v>
      </c>
      <c r="M436" s="6" t="s">
        <v>469</v>
      </c>
      <c r="N436" s="49" t="s">
        <v>1663</v>
      </c>
      <c r="O436" s="43"/>
      <c r="P436" s="6"/>
      <c r="Q436" s="5"/>
      <c r="R436" s="5"/>
      <c r="S436" s="5"/>
    </row>
    <row r="437" spans="2:19" ht="16.5" customHeight="1" x14ac:dyDescent="0.2">
      <c r="B437" s="6">
        <v>507</v>
      </c>
      <c r="C437" s="6">
        <v>307</v>
      </c>
      <c r="D437" s="33" t="s">
        <v>2544</v>
      </c>
      <c r="E437" s="6"/>
      <c r="F437" s="45" t="s">
        <v>2574</v>
      </c>
      <c r="G437" s="37" t="s">
        <v>2573</v>
      </c>
      <c r="H437" s="33" t="s">
        <v>2574</v>
      </c>
      <c r="I437" s="33" t="s">
        <v>2574</v>
      </c>
      <c r="J437" s="6" t="s">
        <v>2232</v>
      </c>
      <c r="K437" s="6" t="s">
        <v>327</v>
      </c>
      <c r="L437" s="6" t="s">
        <v>514</v>
      </c>
      <c r="M437" s="6" t="s">
        <v>469</v>
      </c>
      <c r="N437" s="49" t="s">
        <v>1663</v>
      </c>
      <c r="O437" s="43"/>
      <c r="P437" s="6"/>
      <c r="Q437" s="5"/>
      <c r="R437" s="5"/>
      <c r="S437" s="5"/>
    </row>
    <row r="438" spans="2:19" ht="16.5" customHeight="1" x14ac:dyDescent="0.2">
      <c r="B438" s="6">
        <v>508</v>
      </c>
      <c r="C438" s="6">
        <v>308</v>
      </c>
      <c r="D438" s="33" t="s">
        <v>2545</v>
      </c>
      <c r="E438" s="6"/>
      <c r="F438" s="45" t="s">
        <v>2577</v>
      </c>
      <c r="G438" s="9" t="s">
        <v>2578</v>
      </c>
      <c r="H438" s="33" t="s">
        <v>2577</v>
      </c>
      <c r="I438" s="33" t="s">
        <v>2577</v>
      </c>
      <c r="J438" s="6" t="s">
        <v>2232</v>
      </c>
      <c r="K438" s="6" t="s">
        <v>113</v>
      </c>
      <c r="L438" s="6" t="s">
        <v>514</v>
      </c>
      <c r="M438" s="6" t="s">
        <v>469</v>
      </c>
      <c r="N438" s="49" t="s">
        <v>1663</v>
      </c>
      <c r="O438" s="43"/>
      <c r="P438" s="6"/>
      <c r="Q438" s="5"/>
      <c r="R438" s="5"/>
      <c r="S438" s="5"/>
    </row>
    <row r="439" spans="2:19" ht="16.5" customHeight="1" x14ac:dyDescent="0.2">
      <c r="B439" s="6">
        <v>546</v>
      </c>
      <c r="C439" s="6">
        <v>346</v>
      </c>
      <c r="D439" s="33" t="s">
        <v>2718</v>
      </c>
      <c r="E439" s="6"/>
      <c r="F439" s="45" t="s">
        <v>2736</v>
      </c>
      <c r="G439" s="9" t="s">
        <v>2730</v>
      </c>
      <c r="H439" s="33" t="s">
        <v>2736</v>
      </c>
      <c r="I439" s="33" t="s">
        <v>2736</v>
      </c>
      <c r="J439" s="6" t="s">
        <v>2706</v>
      </c>
      <c r="K439" s="6" t="s">
        <v>2707</v>
      </c>
      <c r="L439" s="6" t="s">
        <v>514</v>
      </c>
      <c r="M439" s="6" t="s">
        <v>469</v>
      </c>
      <c r="N439" s="49" t="s">
        <v>1663</v>
      </c>
      <c r="O439" s="43"/>
      <c r="P439" s="6"/>
      <c r="Q439" s="5"/>
      <c r="R439" s="5"/>
      <c r="S439" s="5"/>
    </row>
    <row r="440" spans="2:19" ht="16.5" customHeight="1" x14ac:dyDescent="0.2">
      <c r="B440" s="6">
        <v>552</v>
      </c>
      <c r="C440" s="6">
        <v>352</v>
      </c>
      <c r="D440" s="33" t="s">
        <v>2741</v>
      </c>
      <c r="E440" s="6"/>
      <c r="F440" s="45" t="s">
        <v>2745</v>
      </c>
      <c r="G440" s="9" t="s">
        <v>2734</v>
      </c>
      <c r="H440" s="33" t="s">
        <v>2745</v>
      </c>
      <c r="I440" s="33" t="s">
        <v>2745</v>
      </c>
      <c r="J440" s="6" t="s">
        <v>2706</v>
      </c>
      <c r="K440" s="6" t="s">
        <v>2707</v>
      </c>
      <c r="L440" s="6" t="s">
        <v>514</v>
      </c>
      <c r="M440" s="6" t="s">
        <v>469</v>
      </c>
      <c r="N440" s="49" t="s">
        <v>1663</v>
      </c>
      <c r="O440" s="43"/>
      <c r="P440" s="6"/>
      <c r="Q440" s="5"/>
      <c r="R440" s="5"/>
      <c r="S440" s="5"/>
    </row>
    <row r="441" spans="2:19" ht="16.5" customHeight="1" x14ac:dyDescent="0.2">
      <c r="B441" s="6">
        <v>549</v>
      </c>
      <c r="C441" s="6">
        <v>349</v>
      </c>
      <c r="D441" s="33" t="s">
        <v>2738</v>
      </c>
      <c r="E441" s="6"/>
      <c r="F441" s="45" t="s">
        <v>2744</v>
      </c>
      <c r="G441" s="9" t="s">
        <v>2733</v>
      </c>
      <c r="H441" s="33" t="s">
        <v>2744</v>
      </c>
      <c r="I441" s="33" t="s">
        <v>2744</v>
      </c>
      <c r="J441" s="6" t="s">
        <v>2706</v>
      </c>
      <c r="K441" s="6" t="s">
        <v>2707</v>
      </c>
      <c r="L441" s="6" t="s">
        <v>514</v>
      </c>
      <c r="M441" s="6" t="s">
        <v>469</v>
      </c>
      <c r="N441" s="49" t="s">
        <v>1663</v>
      </c>
      <c r="O441" s="43"/>
      <c r="P441" s="6"/>
      <c r="Q441" s="5"/>
      <c r="R441" s="5"/>
      <c r="S441" s="5"/>
    </row>
    <row r="442" spans="2:19" ht="16.5" customHeight="1" x14ac:dyDescent="0.2">
      <c r="B442" s="6">
        <v>544</v>
      </c>
      <c r="C442" s="6">
        <v>344</v>
      </c>
      <c r="D442" s="33" t="s">
        <v>2716</v>
      </c>
      <c r="E442" s="6"/>
      <c r="F442" s="45" t="s">
        <v>2726</v>
      </c>
      <c r="G442" s="9" t="s">
        <v>2728</v>
      </c>
      <c r="H442" s="33" t="s">
        <v>2726</v>
      </c>
      <c r="I442" s="33" t="s">
        <v>2726</v>
      </c>
      <c r="J442" s="6" t="s">
        <v>2706</v>
      </c>
      <c r="K442" s="6" t="s">
        <v>2707</v>
      </c>
      <c r="L442" s="6" t="s">
        <v>514</v>
      </c>
      <c r="M442" s="6" t="s">
        <v>469</v>
      </c>
      <c r="N442" s="49" t="s">
        <v>1663</v>
      </c>
      <c r="O442" s="43"/>
      <c r="P442" s="6"/>
      <c r="Q442" s="5"/>
      <c r="R442" s="5"/>
      <c r="S442" s="5"/>
    </row>
    <row r="443" spans="2:19" ht="16.5" customHeight="1" x14ac:dyDescent="0.2">
      <c r="B443" s="6">
        <v>545</v>
      </c>
      <c r="C443" s="6">
        <v>345</v>
      </c>
      <c r="D443" s="33" t="s">
        <v>2717</v>
      </c>
      <c r="E443" s="6"/>
      <c r="F443" s="45" t="s">
        <v>2735</v>
      </c>
      <c r="G443" s="9" t="s">
        <v>2729</v>
      </c>
      <c r="H443" s="33" t="s">
        <v>2735</v>
      </c>
      <c r="I443" s="33" t="s">
        <v>2735</v>
      </c>
      <c r="J443" s="6" t="s">
        <v>2706</v>
      </c>
      <c r="K443" s="6" t="s">
        <v>2707</v>
      </c>
      <c r="L443" s="6" t="s">
        <v>514</v>
      </c>
      <c r="M443" s="6" t="s">
        <v>469</v>
      </c>
      <c r="N443" s="49" t="s">
        <v>1663</v>
      </c>
      <c r="O443" s="43"/>
      <c r="P443" s="6"/>
      <c r="Q443" s="5"/>
      <c r="R443" s="5"/>
      <c r="S443" s="5"/>
    </row>
    <row r="444" spans="2:19" ht="16.5" customHeight="1" x14ac:dyDescent="0.2">
      <c r="B444" s="6">
        <v>547</v>
      </c>
      <c r="C444" s="6">
        <v>347</v>
      </c>
      <c r="D444" s="33" t="s">
        <v>2719</v>
      </c>
      <c r="E444" s="6"/>
      <c r="F444" s="45" t="s">
        <v>2742</v>
      </c>
      <c r="G444" s="9" t="s">
        <v>2731</v>
      </c>
      <c r="H444" s="33" t="s">
        <v>2742</v>
      </c>
      <c r="I444" s="33" t="s">
        <v>2742</v>
      </c>
      <c r="J444" s="6" t="s">
        <v>2706</v>
      </c>
      <c r="K444" s="6" t="s">
        <v>2707</v>
      </c>
      <c r="L444" s="6" t="s">
        <v>514</v>
      </c>
      <c r="M444" s="6" t="s">
        <v>469</v>
      </c>
      <c r="N444" s="49" t="s">
        <v>1663</v>
      </c>
      <c r="O444" s="43"/>
      <c r="P444" s="6"/>
      <c r="Q444" s="5"/>
      <c r="R444" s="5"/>
      <c r="S444" s="5"/>
    </row>
    <row r="445" spans="2:19" ht="16.5" customHeight="1" x14ac:dyDescent="0.2">
      <c r="B445" s="6">
        <v>572</v>
      </c>
      <c r="C445" s="6">
        <v>372</v>
      </c>
      <c r="D445" s="33" t="s">
        <v>2810</v>
      </c>
      <c r="E445" s="6"/>
      <c r="F445" s="45" t="s">
        <v>2816</v>
      </c>
      <c r="G445" s="9" t="s">
        <v>2818</v>
      </c>
      <c r="H445" s="33" t="s">
        <v>2816</v>
      </c>
      <c r="I445" s="33" t="s">
        <v>2816</v>
      </c>
      <c r="J445" s="6" t="s">
        <v>2706</v>
      </c>
      <c r="K445" s="6" t="s">
        <v>886</v>
      </c>
      <c r="L445" s="6" t="s">
        <v>541</v>
      </c>
      <c r="M445" s="49" t="s">
        <v>469</v>
      </c>
      <c r="N445" s="49" t="s">
        <v>1663</v>
      </c>
      <c r="O445" s="43"/>
      <c r="P445" s="6"/>
      <c r="Q445" s="5"/>
      <c r="R445" s="5"/>
      <c r="S445" s="5"/>
    </row>
    <row r="446" spans="2:19" ht="16.5" customHeight="1" x14ac:dyDescent="0.2">
      <c r="B446" s="6">
        <v>571</v>
      </c>
      <c r="C446" s="6">
        <v>371</v>
      </c>
      <c r="D446" s="33" t="s">
        <v>2809</v>
      </c>
      <c r="E446" s="6"/>
      <c r="F446" s="45" t="s">
        <v>2812</v>
      </c>
      <c r="G446" s="5" t="s">
        <v>2811</v>
      </c>
      <c r="H446" s="45" t="s">
        <v>2812</v>
      </c>
      <c r="I446" s="45" t="s">
        <v>2812</v>
      </c>
      <c r="J446" s="6" t="s">
        <v>2706</v>
      </c>
      <c r="K446" s="5" t="s">
        <v>309</v>
      </c>
      <c r="L446" s="6" t="s">
        <v>541</v>
      </c>
      <c r="M446" s="49" t="s">
        <v>469</v>
      </c>
      <c r="N446" s="49" t="s">
        <v>1663</v>
      </c>
      <c r="O446" s="43"/>
      <c r="P446" s="6"/>
      <c r="Q446" s="5"/>
      <c r="R446" s="5"/>
      <c r="S446" s="5"/>
    </row>
    <row r="447" spans="2:19" ht="16.5" customHeight="1" x14ac:dyDescent="0.2">
      <c r="B447" s="6">
        <v>570</v>
      </c>
      <c r="C447" s="6">
        <v>370</v>
      </c>
      <c r="D447" s="33" t="s">
        <v>2808</v>
      </c>
      <c r="E447" s="6"/>
      <c r="F447" s="45" t="s">
        <v>2815</v>
      </c>
      <c r="G447" s="9" t="s">
        <v>2814</v>
      </c>
      <c r="H447" s="33" t="s">
        <v>2815</v>
      </c>
      <c r="I447" s="33" t="s">
        <v>2815</v>
      </c>
      <c r="J447" s="6" t="s">
        <v>2706</v>
      </c>
      <c r="K447" s="6" t="s">
        <v>2817</v>
      </c>
      <c r="L447" s="6" t="s">
        <v>514</v>
      </c>
      <c r="M447" s="6" t="s">
        <v>469</v>
      </c>
      <c r="N447" s="49" t="s">
        <v>1663</v>
      </c>
      <c r="O447" s="43"/>
      <c r="P447" s="6"/>
      <c r="Q447" s="5"/>
      <c r="R447" s="5"/>
      <c r="S447" s="5"/>
    </row>
    <row r="448" spans="2:19" ht="16.5" customHeight="1" x14ac:dyDescent="0.2">
      <c r="B448" s="6">
        <v>542</v>
      </c>
      <c r="C448" s="6">
        <v>342</v>
      </c>
      <c r="D448" s="33" t="s">
        <v>2714</v>
      </c>
      <c r="E448" s="6"/>
      <c r="F448" s="45" t="s">
        <v>2723</v>
      </c>
      <c r="G448" s="9" t="s">
        <v>2724</v>
      </c>
      <c r="H448" s="33" t="s">
        <v>2723</v>
      </c>
      <c r="I448" s="33" t="s">
        <v>2723</v>
      </c>
      <c r="J448" s="6" t="s">
        <v>2706</v>
      </c>
      <c r="K448" s="6" t="s">
        <v>2707</v>
      </c>
      <c r="L448" s="6" t="s">
        <v>514</v>
      </c>
      <c r="M448" s="6" t="s">
        <v>469</v>
      </c>
      <c r="N448" s="49" t="s">
        <v>1663</v>
      </c>
      <c r="O448" s="43"/>
      <c r="P448" s="6"/>
      <c r="Q448" s="5"/>
      <c r="R448" s="5"/>
      <c r="S448" s="5"/>
    </row>
    <row r="449" spans="2:19" ht="16.5" customHeight="1" x14ac:dyDescent="0.2">
      <c r="B449" s="6">
        <v>543</v>
      </c>
      <c r="C449" s="6">
        <v>343</v>
      </c>
      <c r="D449" s="33" t="s">
        <v>2715</v>
      </c>
      <c r="E449" s="6"/>
      <c r="F449" s="45" t="s">
        <v>2725</v>
      </c>
      <c r="G449" s="9" t="s">
        <v>2727</v>
      </c>
      <c r="H449" s="33" t="s">
        <v>2725</v>
      </c>
      <c r="I449" s="33" t="s">
        <v>2725</v>
      </c>
      <c r="J449" s="6" t="s">
        <v>2706</v>
      </c>
      <c r="K449" s="6" t="s">
        <v>2707</v>
      </c>
      <c r="L449" s="6" t="s">
        <v>514</v>
      </c>
      <c r="M449" s="6" t="s">
        <v>469</v>
      </c>
      <c r="N449" s="49" t="s">
        <v>1663</v>
      </c>
      <c r="O449" s="43"/>
      <c r="P449" s="6"/>
      <c r="Q449" s="5"/>
      <c r="R449" s="5"/>
      <c r="S449" s="5"/>
    </row>
    <row r="450" spans="2:19" ht="16.5" customHeight="1" x14ac:dyDescent="0.2">
      <c r="B450" s="6">
        <v>548</v>
      </c>
      <c r="C450" s="6">
        <v>348</v>
      </c>
      <c r="D450" s="33" t="s">
        <v>2737</v>
      </c>
      <c r="E450" s="6"/>
      <c r="F450" s="45" t="s">
        <v>2743</v>
      </c>
      <c r="G450" s="9" t="s">
        <v>2732</v>
      </c>
      <c r="H450" s="33" t="s">
        <v>2743</v>
      </c>
      <c r="I450" s="33" t="s">
        <v>2743</v>
      </c>
      <c r="J450" s="6" t="s">
        <v>2706</v>
      </c>
      <c r="K450" s="6" t="s">
        <v>2707</v>
      </c>
      <c r="L450" s="6" t="s">
        <v>514</v>
      </c>
      <c r="M450" s="6" t="s">
        <v>469</v>
      </c>
      <c r="N450" s="49" t="s">
        <v>1663</v>
      </c>
      <c r="O450" s="43"/>
      <c r="P450" s="6"/>
      <c r="Q450" s="5"/>
      <c r="R450" s="5"/>
      <c r="S450" s="5"/>
    </row>
    <row r="451" spans="2:19" ht="16.5" customHeight="1" x14ac:dyDescent="0.2">
      <c r="B451" s="6">
        <v>751</v>
      </c>
      <c r="C451" s="6">
        <v>1</v>
      </c>
      <c r="D451" s="33" t="s">
        <v>2819</v>
      </c>
      <c r="E451" s="33" t="s">
        <v>2820</v>
      </c>
      <c r="F451" s="33" t="s">
        <v>2821</v>
      </c>
      <c r="G451" s="9" t="s">
        <v>2822</v>
      </c>
      <c r="H451" s="33" t="s">
        <v>2821</v>
      </c>
      <c r="I451" s="33" t="s">
        <v>2821</v>
      </c>
      <c r="J451" s="5" t="s">
        <v>2706</v>
      </c>
      <c r="K451" s="6" t="s">
        <v>2817</v>
      </c>
      <c r="L451" s="6" t="s">
        <v>514</v>
      </c>
      <c r="M451" s="49" t="s">
        <v>469</v>
      </c>
      <c r="N451" s="49" t="s">
        <v>2824</v>
      </c>
      <c r="P451" s="6"/>
      <c r="Q451" s="5"/>
      <c r="R451" s="5"/>
      <c r="S451" s="5"/>
    </row>
    <row r="452" spans="2:19" ht="16.5" customHeight="1" x14ac:dyDescent="0.2">
      <c r="B452" s="6">
        <v>522</v>
      </c>
      <c r="C452" s="6">
        <v>322</v>
      </c>
      <c r="D452" s="33" t="s">
        <v>2605</v>
      </c>
      <c r="E452" s="6"/>
      <c r="F452" s="45" t="s">
        <v>329</v>
      </c>
      <c r="G452" s="9" t="s">
        <v>2653</v>
      </c>
      <c r="H452" s="45" t="s">
        <v>329</v>
      </c>
      <c r="I452" s="45" t="s">
        <v>329</v>
      </c>
      <c r="J452" s="6" t="s">
        <v>328</v>
      </c>
      <c r="K452" s="6" t="s">
        <v>2569</v>
      </c>
      <c r="L452" s="6" t="s">
        <v>514</v>
      </c>
      <c r="M452" s="6" t="s">
        <v>469</v>
      </c>
      <c r="N452" s="49" t="s">
        <v>1663</v>
      </c>
      <c r="O452" s="43"/>
      <c r="P452" s="6"/>
      <c r="Q452" s="5"/>
      <c r="R452" s="5"/>
      <c r="S452" s="5"/>
    </row>
    <row r="453" spans="2:19" ht="16.5" customHeight="1" x14ac:dyDescent="0.2">
      <c r="B453" s="6">
        <v>352</v>
      </c>
      <c r="C453" s="6">
        <v>152</v>
      </c>
      <c r="D453" s="33" t="s">
        <v>1926</v>
      </c>
      <c r="E453" s="6" t="s">
        <v>915</v>
      </c>
      <c r="F453" s="33" t="s">
        <v>1997</v>
      </c>
      <c r="G453" s="9" t="s">
        <v>2474</v>
      </c>
      <c r="H453" s="33" t="s">
        <v>1997</v>
      </c>
      <c r="I453" s="33" t="s">
        <v>1997</v>
      </c>
      <c r="J453" s="5" t="s">
        <v>1996</v>
      </c>
      <c r="K453" s="6" t="s">
        <v>917</v>
      </c>
      <c r="L453" s="6" t="s">
        <v>514</v>
      </c>
      <c r="M453" s="49" t="s">
        <v>469</v>
      </c>
      <c r="N453" s="6" t="s">
        <v>1663</v>
      </c>
      <c r="O453" s="6" t="s">
        <v>2515</v>
      </c>
      <c r="P453" s="6"/>
      <c r="Q453" s="5"/>
      <c r="R453" s="5"/>
      <c r="S453" s="5"/>
    </row>
    <row r="454" spans="2:19" ht="16.5" customHeight="1" x14ac:dyDescent="0.2">
      <c r="B454" s="6">
        <v>351</v>
      </c>
      <c r="C454" s="6">
        <v>151</v>
      </c>
      <c r="D454" s="33" t="s">
        <v>1925</v>
      </c>
      <c r="E454" s="6" t="s">
        <v>915</v>
      </c>
      <c r="F454" s="33" t="s">
        <v>1995</v>
      </c>
      <c r="G454" s="9" t="s">
        <v>2473</v>
      </c>
      <c r="H454" s="33" t="s">
        <v>1995</v>
      </c>
      <c r="I454" s="33" t="s">
        <v>1995</v>
      </c>
      <c r="J454" s="5" t="s">
        <v>1996</v>
      </c>
      <c r="K454" s="6" t="s">
        <v>917</v>
      </c>
      <c r="L454" s="6" t="s">
        <v>514</v>
      </c>
      <c r="M454" s="49" t="s">
        <v>469</v>
      </c>
      <c r="N454" s="6" t="s">
        <v>1663</v>
      </c>
      <c r="O454" s="6" t="s">
        <v>2515</v>
      </c>
      <c r="P454" s="6"/>
      <c r="Q454" s="5"/>
      <c r="R454" s="5"/>
      <c r="S454" s="5"/>
    </row>
    <row r="455" spans="2:19" ht="16.5" customHeight="1" x14ac:dyDescent="0.2">
      <c r="B455" s="6">
        <v>513</v>
      </c>
      <c r="C455" s="6">
        <v>313</v>
      </c>
      <c r="D455" s="33" t="s">
        <v>2549</v>
      </c>
      <c r="E455" s="6"/>
      <c r="F455" s="45" t="s">
        <v>2624</v>
      </c>
      <c r="G455" s="9" t="s">
        <v>2623</v>
      </c>
      <c r="H455" s="33" t="s">
        <v>2624</v>
      </c>
      <c r="I455" s="33" t="s">
        <v>2624</v>
      </c>
      <c r="J455" s="6" t="s">
        <v>2232</v>
      </c>
      <c r="K455" s="6" t="s">
        <v>180</v>
      </c>
      <c r="L455" s="6" t="s">
        <v>514</v>
      </c>
      <c r="M455" s="6" t="s">
        <v>469</v>
      </c>
      <c r="N455" s="49" t="s">
        <v>1663</v>
      </c>
      <c r="O455" s="43"/>
      <c r="P455" s="6"/>
      <c r="Q455" s="5"/>
      <c r="R455" s="5"/>
      <c r="S455" s="5"/>
    </row>
    <row r="456" spans="2:19" ht="16.5" customHeight="1" x14ac:dyDescent="0.2">
      <c r="B456" s="6">
        <v>505</v>
      </c>
      <c r="C456" s="6">
        <v>305</v>
      </c>
      <c r="D456" s="33" t="s">
        <v>2541</v>
      </c>
      <c r="E456" s="6"/>
      <c r="F456" s="45" t="s">
        <v>2587</v>
      </c>
      <c r="G456" s="37" t="s">
        <v>2586</v>
      </c>
      <c r="H456" s="33" t="s">
        <v>2587</v>
      </c>
      <c r="I456" s="33" t="s">
        <v>2587</v>
      </c>
      <c r="J456" s="6" t="s">
        <v>2232</v>
      </c>
      <c r="K456" s="6" t="s">
        <v>2576</v>
      </c>
      <c r="L456" s="6" t="s">
        <v>514</v>
      </c>
      <c r="M456" s="6" t="s">
        <v>469</v>
      </c>
      <c r="N456" s="49" t="s">
        <v>1663</v>
      </c>
      <c r="O456" s="43"/>
      <c r="P456" s="6"/>
      <c r="Q456" s="5"/>
      <c r="R456" s="5"/>
      <c r="S456" s="5"/>
    </row>
    <row r="457" spans="2:19" ht="16.5" customHeight="1" x14ac:dyDescent="0.2">
      <c r="B457" s="6">
        <v>512</v>
      </c>
      <c r="C457" s="6">
        <v>312</v>
      </c>
      <c r="D457" s="33" t="s">
        <v>2548</v>
      </c>
      <c r="E457" s="6"/>
      <c r="F457" s="45" t="s">
        <v>2626</v>
      </c>
      <c r="G457" s="9" t="s">
        <v>2625</v>
      </c>
      <c r="H457" s="33" t="s">
        <v>2626</v>
      </c>
      <c r="I457" s="33" t="s">
        <v>2626</v>
      </c>
      <c r="J457" s="6" t="s">
        <v>2232</v>
      </c>
      <c r="K457" s="6" t="s">
        <v>184</v>
      </c>
      <c r="L457" s="6" t="s">
        <v>514</v>
      </c>
      <c r="M457" s="6" t="s">
        <v>469</v>
      </c>
      <c r="N457" s="49" t="s">
        <v>1663</v>
      </c>
      <c r="O457" s="43"/>
      <c r="P457" s="6"/>
      <c r="Q457" s="5"/>
      <c r="R457" s="5"/>
      <c r="S457" s="5"/>
    </row>
    <row r="458" spans="2:19" ht="16.5" customHeight="1" x14ac:dyDescent="0.2">
      <c r="B458" s="6">
        <v>529</v>
      </c>
      <c r="C458" s="6">
        <v>329</v>
      </c>
      <c r="D458" s="33" t="s">
        <v>2612</v>
      </c>
      <c r="E458" s="6"/>
      <c r="F458" s="45" t="s">
        <v>2698</v>
      </c>
      <c r="G458" s="9" t="s">
        <v>2699</v>
      </c>
      <c r="H458" s="33" t="s">
        <v>2698</v>
      </c>
      <c r="I458" s="33" t="s">
        <v>2698</v>
      </c>
      <c r="J458" s="6" t="s">
        <v>2232</v>
      </c>
      <c r="K458" s="6" t="s">
        <v>1093</v>
      </c>
      <c r="L458" s="6" t="s">
        <v>514</v>
      </c>
      <c r="M458" s="6" t="s">
        <v>469</v>
      </c>
      <c r="N458" s="49" t="s">
        <v>1663</v>
      </c>
      <c r="O458" s="43"/>
      <c r="P458" s="6"/>
      <c r="Q458" s="5"/>
      <c r="R458" s="5"/>
      <c r="S458" s="5"/>
    </row>
    <row r="459" spans="2:19" ht="16.5" customHeight="1" x14ac:dyDescent="0.2">
      <c r="B459" s="6">
        <v>511</v>
      </c>
      <c r="C459" s="6">
        <v>311</v>
      </c>
      <c r="D459" s="33" t="s">
        <v>2547</v>
      </c>
      <c r="E459" s="6"/>
      <c r="F459" s="45" t="s">
        <v>2628</v>
      </c>
      <c r="G459" s="37" t="s">
        <v>2627</v>
      </c>
      <c r="H459" s="45" t="s">
        <v>2628</v>
      </c>
      <c r="I459" s="45" t="s">
        <v>2628</v>
      </c>
      <c r="J459" s="6" t="s">
        <v>2232</v>
      </c>
      <c r="K459" s="6" t="s">
        <v>673</v>
      </c>
      <c r="L459" s="6" t="s">
        <v>514</v>
      </c>
      <c r="M459" s="6" t="s">
        <v>469</v>
      </c>
      <c r="N459" s="49" t="s">
        <v>1663</v>
      </c>
      <c r="O459" s="43"/>
      <c r="P459" s="6"/>
      <c r="Q459" s="5"/>
      <c r="R459" s="5"/>
      <c r="S459" s="5"/>
    </row>
    <row r="460" spans="2:19" ht="16.5" customHeight="1" x14ac:dyDescent="0.2">
      <c r="B460" s="6">
        <v>517</v>
      </c>
      <c r="C460" s="6">
        <v>317</v>
      </c>
      <c r="D460" s="33" t="s">
        <v>2600</v>
      </c>
      <c r="E460" s="6"/>
      <c r="F460" s="45" t="s">
        <v>2634</v>
      </c>
      <c r="G460" s="9" t="s">
        <v>2635</v>
      </c>
      <c r="H460" s="33" t="s">
        <v>2634</v>
      </c>
      <c r="I460" s="33" t="s">
        <v>2634</v>
      </c>
      <c r="J460" s="6" t="s">
        <v>2232</v>
      </c>
      <c r="K460" s="6" t="s">
        <v>2350</v>
      </c>
      <c r="L460" s="6" t="s">
        <v>514</v>
      </c>
      <c r="M460" s="6" t="s">
        <v>469</v>
      </c>
      <c r="N460" s="49" t="s">
        <v>1663</v>
      </c>
      <c r="O460" s="43"/>
      <c r="P460" s="6"/>
      <c r="Q460" s="5"/>
      <c r="R460" s="5"/>
      <c r="S460" s="5"/>
    </row>
    <row r="461" spans="2:19" ht="16.5" customHeight="1" x14ac:dyDescent="0.2">
      <c r="B461" s="6">
        <v>516</v>
      </c>
      <c r="C461" s="6">
        <v>316</v>
      </c>
      <c r="D461" s="33" t="s">
        <v>2599</v>
      </c>
      <c r="E461" s="6"/>
      <c r="F461" s="45" t="s">
        <v>2632</v>
      </c>
      <c r="G461" s="9" t="s">
        <v>2633</v>
      </c>
      <c r="H461" s="33" t="s">
        <v>2632</v>
      </c>
      <c r="I461" s="33" t="s">
        <v>2632</v>
      </c>
      <c r="J461" s="6" t="s">
        <v>2232</v>
      </c>
      <c r="K461" s="6" t="s">
        <v>2350</v>
      </c>
      <c r="L461" s="6" t="s">
        <v>514</v>
      </c>
      <c r="M461" s="6" t="s">
        <v>469</v>
      </c>
      <c r="N461" s="49" t="s">
        <v>1663</v>
      </c>
      <c r="O461" s="43"/>
      <c r="P461" s="6"/>
      <c r="Q461" s="5"/>
      <c r="R461" s="5"/>
      <c r="S461" s="5"/>
    </row>
    <row r="462" spans="2:19" ht="16.5" customHeight="1" x14ac:dyDescent="0.2">
      <c r="B462" s="6">
        <v>526</v>
      </c>
      <c r="C462" s="6">
        <v>326</v>
      </c>
      <c r="D462" s="33" t="s">
        <v>2609</v>
      </c>
      <c r="E462" s="6"/>
      <c r="F462" s="45" t="s">
        <v>2687</v>
      </c>
      <c r="G462" s="9" t="s">
        <v>2688</v>
      </c>
      <c r="H462" s="33" t="s">
        <v>2687</v>
      </c>
      <c r="I462" s="33" t="s">
        <v>2687</v>
      </c>
      <c r="J462" s="6" t="s">
        <v>2232</v>
      </c>
      <c r="K462" s="6" t="s">
        <v>1805</v>
      </c>
      <c r="L462" s="6" t="s">
        <v>514</v>
      </c>
      <c r="M462" s="6" t="s">
        <v>469</v>
      </c>
      <c r="N462" s="49" t="s">
        <v>1663</v>
      </c>
      <c r="O462" s="43"/>
      <c r="P462" s="6"/>
      <c r="Q462" s="5"/>
      <c r="R462" s="5"/>
      <c r="S462" s="5"/>
    </row>
    <row r="463" spans="2:19" ht="16.5" customHeight="1" x14ac:dyDescent="0.2">
      <c r="B463" s="6">
        <v>506</v>
      </c>
      <c r="C463" s="6">
        <v>306</v>
      </c>
      <c r="D463" s="33" t="s">
        <v>2543</v>
      </c>
      <c r="E463" s="6"/>
      <c r="F463" s="45" t="s">
        <v>2589</v>
      </c>
      <c r="G463" s="9" t="s">
        <v>2588</v>
      </c>
      <c r="H463" s="33" t="s">
        <v>2589</v>
      </c>
      <c r="I463" s="33" t="s">
        <v>2589</v>
      </c>
      <c r="J463" s="6" t="s">
        <v>2232</v>
      </c>
      <c r="K463" s="6" t="s">
        <v>2576</v>
      </c>
      <c r="L463" s="6" t="s">
        <v>514</v>
      </c>
      <c r="M463" s="6" t="s">
        <v>469</v>
      </c>
      <c r="N463" s="49" t="s">
        <v>1663</v>
      </c>
      <c r="O463" s="43"/>
      <c r="P463" s="6"/>
      <c r="Q463" s="5"/>
      <c r="R463" s="5"/>
      <c r="S463" s="5"/>
    </row>
    <row r="464" spans="2:19" ht="16.5" customHeight="1" x14ac:dyDescent="0.2">
      <c r="B464" s="6">
        <v>521</v>
      </c>
      <c r="C464" s="6">
        <v>321</v>
      </c>
      <c r="D464" s="33" t="s">
        <v>2604</v>
      </c>
      <c r="E464" s="6"/>
      <c r="F464" s="45" t="s">
        <v>2652</v>
      </c>
      <c r="G464" s="9" t="s">
        <v>2651</v>
      </c>
      <c r="H464" s="45" t="s">
        <v>2652</v>
      </c>
      <c r="I464" s="45" t="s">
        <v>2652</v>
      </c>
      <c r="J464" s="6" t="s">
        <v>2232</v>
      </c>
      <c r="K464" s="6" t="s">
        <v>41</v>
      </c>
      <c r="L464" s="6" t="s">
        <v>2176</v>
      </c>
      <c r="M464" s="49" t="s">
        <v>469</v>
      </c>
      <c r="N464" s="6" t="s">
        <v>1663</v>
      </c>
      <c r="O464" s="43"/>
      <c r="P464" s="6"/>
      <c r="Q464" s="5"/>
      <c r="R464" s="5"/>
      <c r="S464" s="5"/>
    </row>
    <row r="465" spans="2:19" ht="16.5" customHeight="1" x14ac:dyDescent="0.2">
      <c r="B465" s="6">
        <v>492</v>
      </c>
      <c r="C465" s="6">
        <v>292</v>
      </c>
      <c r="D465" s="33" t="s">
        <v>2528</v>
      </c>
      <c r="E465" s="6"/>
      <c r="F465" s="45" t="s">
        <v>2554</v>
      </c>
      <c r="G465" s="37" t="s">
        <v>2553</v>
      </c>
      <c r="H465" s="33" t="s">
        <v>2554</v>
      </c>
      <c r="I465" s="33" t="s">
        <v>2554</v>
      </c>
      <c r="J465" s="6" t="s">
        <v>2232</v>
      </c>
      <c r="K465" s="6" t="s">
        <v>2555</v>
      </c>
      <c r="L465" s="6" t="s">
        <v>514</v>
      </c>
      <c r="M465" s="6" t="s">
        <v>469</v>
      </c>
      <c r="N465" s="49" t="s">
        <v>1663</v>
      </c>
      <c r="O465" s="43"/>
      <c r="P465" s="6"/>
      <c r="Q465" s="5"/>
      <c r="R465" s="5"/>
      <c r="S465" s="5"/>
    </row>
    <row r="466" spans="2:19" ht="16.5" customHeight="1" x14ac:dyDescent="0.2">
      <c r="B466" s="6">
        <v>431</v>
      </c>
      <c r="C466" s="6">
        <v>231</v>
      </c>
      <c r="D466" s="45" t="s">
        <v>2332</v>
      </c>
      <c r="E466" s="6" t="s">
        <v>915</v>
      </c>
      <c r="F466" s="33" t="s">
        <v>2514</v>
      </c>
      <c r="G466" s="37" t="s">
        <v>2513</v>
      </c>
      <c r="H466" s="33" t="s">
        <v>2514</v>
      </c>
      <c r="I466" s="33" t="s">
        <v>2514</v>
      </c>
      <c r="J466" s="6" t="s">
        <v>2496</v>
      </c>
      <c r="K466" s="6" t="s">
        <v>309</v>
      </c>
      <c r="L466" s="6" t="s">
        <v>2307</v>
      </c>
      <c r="M466" s="6" t="s">
        <v>469</v>
      </c>
      <c r="N466" s="49" t="s">
        <v>1663</v>
      </c>
      <c r="P466" s="6"/>
      <c r="Q466" s="5"/>
      <c r="R466" s="5"/>
      <c r="S466" s="5"/>
    </row>
    <row r="467" spans="2:19" ht="16.5" customHeight="1" x14ac:dyDescent="0.2">
      <c r="B467" s="6">
        <v>409</v>
      </c>
      <c r="C467" s="6">
        <v>209</v>
      </c>
      <c r="D467" s="45" t="s">
        <v>2310</v>
      </c>
      <c r="E467" s="6" t="s">
        <v>915</v>
      </c>
      <c r="F467" s="33" t="s">
        <v>2504</v>
      </c>
      <c r="G467" s="37" t="s">
        <v>2503</v>
      </c>
      <c r="H467" s="33" t="s">
        <v>2504</v>
      </c>
      <c r="I467" s="33" t="s">
        <v>2504</v>
      </c>
      <c r="J467" s="6" t="s">
        <v>2496</v>
      </c>
      <c r="K467" s="6" t="s">
        <v>309</v>
      </c>
      <c r="L467" s="6" t="s">
        <v>2307</v>
      </c>
      <c r="M467" s="49" t="s">
        <v>469</v>
      </c>
      <c r="N467" s="49" t="s">
        <v>1663</v>
      </c>
      <c r="P467" s="6"/>
      <c r="Q467" s="5"/>
      <c r="R467" s="5"/>
      <c r="S467" s="5"/>
    </row>
    <row r="468" spans="2:19" ht="16.5" customHeight="1" x14ac:dyDescent="0.2">
      <c r="B468" s="6">
        <v>411</v>
      </c>
      <c r="C468" s="6">
        <v>211</v>
      </c>
      <c r="D468" s="45" t="s">
        <v>2312</v>
      </c>
      <c r="E468" s="6" t="s">
        <v>915</v>
      </c>
      <c r="F468" s="33" t="s">
        <v>2506</v>
      </c>
      <c r="G468" s="37" t="s">
        <v>2505</v>
      </c>
      <c r="H468" s="33" t="s">
        <v>2506</v>
      </c>
      <c r="I468" s="33" t="s">
        <v>2506</v>
      </c>
      <c r="J468" s="6" t="s">
        <v>2496</v>
      </c>
      <c r="K468" s="6" t="s">
        <v>309</v>
      </c>
      <c r="L468" s="6" t="s">
        <v>2307</v>
      </c>
      <c r="M468" s="49" t="s">
        <v>469</v>
      </c>
      <c r="N468" s="49" t="s">
        <v>1663</v>
      </c>
      <c r="P468" s="6"/>
      <c r="Q468" s="5"/>
      <c r="R468" s="5"/>
      <c r="S468" s="5"/>
    </row>
    <row r="469" spans="2:19" ht="16.5" customHeight="1" x14ac:dyDescent="0.2">
      <c r="B469" s="6">
        <v>405</v>
      </c>
      <c r="C469" s="6">
        <v>205</v>
      </c>
      <c r="D469" s="33" t="s">
        <v>2253</v>
      </c>
      <c r="E469" s="6" t="s">
        <v>915</v>
      </c>
      <c r="F469" s="33" t="s">
        <v>2498</v>
      </c>
      <c r="G469" s="37" t="s">
        <v>2497</v>
      </c>
      <c r="H469" s="33" t="s">
        <v>2498</v>
      </c>
      <c r="I469" s="33" t="s">
        <v>2498</v>
      </c>
      <c r="J469" s="6" t="s">
        <v>2496</v>
      </c>
      <c r="K469" s="6" t="s">
        <v>309</v>
      </c>
      <c r="L469" s="6" t="s">
        <v>2307</v>
      </c>
      <c r="M469" s="49" t="s">
        <v>469</v>
      </c>
      <c r="N469" s="49" t="s">
        <v>1663</v>
      </c>
      <c r="P469" s="6"/>
      <c r="Q469" s="5"/>
      <c r="R469" s="5"/>
      <c r="S469" s="5"/>
    </row>
    <row r="470" spans="2:19" ht="16.5" customHeight="1" x14ac:dyDescent="0.2">
      <c r="B470" s="6">
        <v>430</v>
      </c>
      <c r="C470" s="6">
        <v>230</v>
      </c>
      <c r="D470" s="45" t="s">
        <v>2331</v>
      </c>
      <c r="E470" s="6" t="s">
        <v>915</v>
      </c>
      <c r="F470" s="33" t="s">
        <v>2512</v>
      </c>
      <c r="G470" s="9" t="s">
        <v>2511</v>
      </c>
      <c r="H470" s="33" t="s">
        <v>2512</v>
      </c>
      <c r="I470" s="33" t="s">
        <v>2512</v>
      </c>
      <c r="J470" s="6" t="s">
        <v>2496</v>
      </c>
      <c r="K470" s="6" t="s">
        <v>309</v>
      </c>
      <c r="L470" s="6" t="s">
        <v>2307</v>
      </c>
      <c r="M470" s="6" t="s">
        <v>469</v>
      </c>
      <c r="N470" s="49" t="s">
        <v>1663</v>
      </c>
      <c r="P470" s="6"/>
      <c r="Q470" s="5"/>
      <c r="R470" s="5"/>
      <c r="S470" s="5"/>
    </row>
    <row r="471" spans="2:19" ht="16.5" customHeight="1" x14ac:dyDescent="0.2">
      <c r="B471" s="6">
        <v>111</v>
      </c>
      <c r="C471" s="6">
        <v>111</v>
      </c>
      <c r="D471" s="45" t="s">
        <v>1512</v>
      </c>
      <c r="E471" s="45" t="s">
        <v>1513</v>
      </c>
      <c r="F471" s="5" t="s">
        <v>332</v>
      </c>
      <c r="G471" s="5" t="s">
        <v>1179</v>
      </c>
      <c r="H471" s="5" t="s">
        <v>332</v>
      </c>
      <c r="I471" s="45" t="s">
        <v>332</v>
      </c>
      <c r="J471" s="5" t="s">
        <v>331</v>
      </c>
      <c r="K471" s="5" t="s">
        <v>886</v>
      </c>
      <c r="L471" s="6" t="s">
        <v>541</v>
      </c>
      <c r="M471" s="6" t="s">
        <v>469</v>
      </c>
      <c r="N471" s="6" t="s">
        <v>1662</v>
      </c>
      <c r="P471" s="6">
        <v>1</v>
      </c>
      <c r="Q471" s="5"/>
      <c r="R471" s="5"/>
      <c r="S471" s="5"/>
    </row>
    <row r="472" spans="2:19" ht="16.5" customHeight="1" x14ac:dyDescent="0.2">
      <c r="B472" s="6">
        <v>408</v>
      </c>
      <c r="C472" s="6">
        <v>208</v>
      </c>
      <c r="D472" s="45" t="s">
        <v>2309</v>
      </c>
      <c r="E472" s="6" t="s">
        <v>915</v>
      </c>
      <c r="F472" s="33" t="s">
        <v>2502</v>
      </c>
      <c r="G472" s="37" t="s">
        <v>2501</v>
      </c>
      <c r="H472" s="33" t="s">
        <v>2502</v>
      </c>
      <c r="I472" s="33" t="s">
        <v>2502</v>
      </c>
      <c r="J472" s="6" t="s">
        <v>2496</v>
      </c>
      <c r="K472" s="6" t="s">
        <v>309</v>
      </c>
      <c r="L472" s="6" t="s">
        <v>2307</v>
      </c>
      <c r="M472" s="49" t="s">
        <v>469</v>
      </c>
      <c r="N472" s="49" t="s">
        <v>1663</v>
      </c>
      <c r="P472" s="6"/>
      <c r="Q472" s="5"/>
      <c r="R472" s="5"/>
      <c r="S472" s="5"/>
    </row>
    <row r="473" spans="2:19" ht="16.5" customHeight="1" x14ac:dyDescent="0.2">
      <c r="B473" s="6">
        <v>104</v>
      </c>
      <c r="C473" s="6">
        <v>104</v>
      </c>
      <c r="D473" s="45" t="s">
        <v>1524</v>
      </c>
      <c r="E473" s="45" t="s">
        <v>1525</v>
      </c>
      <c r="F473" s="5" t="s">
        <v>334</v>
      </c>
      <c r="G473" s="5" t="s">
        <v>1835</v>
      </c>
      <c r="H473" s="5" t="s">
        <v>334</v>
      </c>
      <c r="I473" s="45" t="s">
        <v>334</v>
      </c>
      <c r="J473" s="5" t="s">
        <v>331</v>
      </c>
      <c r="K473" s="5" t="s">
        <v>822</v>
      </c>
      <c r="L473" s="6" t="s">
        <v>541</v>
      </c>
      <c r="M473" s="6" t="s">
        <v>469</v>
      </c>
      <c r="N473" s="6" t="s">
        <v>1662</v>
      </c>
      <c r="P473" s="6">
        <v>1</v>
      </c>
      <c r="Q473" s="5"/>
      <c r="R473" s="5"/>
      <c r="S473" s="5"/>
    </row>
    <row r="474" spans="2:19" ht="16.5" customHeight="1" x14ac:dyDescent="0.2">
      <c r="B474" s="6">
        <v>106</v>
      </c>
      <c r="C474" s="6">
        <v>106</v>
      </c>
      <c r="D474" s="45" t="s">
        <v>1518</v>
      </c>
      <c r="E474" s="45" t="s">
        <v>1519</v>
      </c>
      <c r="F474" s="5" t="s">
        <v>336</v>
      </c>
      <c r="G474" s="5" t="s">
        <v>1180</v>
      </c>
      <c r="H474" s="5" t="s">
        <v>336</v>
      </c>
      <c r="I474" s="45" t="s">
        <v>336</v>
      </c>
      <c r="J474" s="5" t="s">
        <v>331</v>
      </c>
      <c r="K474" s="5" t="s">
        <v>886</v>
      </c>
      <c r="L474" s="6" t="s">
        <v>541</v>
      </c>
      <c r="M474" s="6" t="s">
        <v>469</v>
      </c>
      <c r="N474" s="6" t="s">
        <v>1662</v>
      </c>
      <c r="P474" s="6">
        <v>1</v>
      </c>
      <c r="Q474" s="5"/>
      <c r="R474" s="5"/>
      <c r="S474" s="5"/>
    </row>
    <row r="475" spans="2:19" ht="16.5" customHeight="1" x14ac:dyDescent="0.2">
      <c r="B475" s="6">
        <v>107</v>
      </c>
      <c r="C475" s="6">
        <v>107</v>
      </c>
      <c r="D475" s="45" t="s">
        <v>1522</v>
      </c>
      <c r="E475" s="45" t="s">
        <v>1523</v>
      </c>
      <c r="F475" s="5" t="s">
        <v>338</v>
      </c>
      <c r="G475" s="5" t="s">
        <v>1181</v>
      </c>
      <c r="H475" s="5" t="s">
        <v>338</v>
      </c>
      <c r="I475" s="45" t="s">
        <v>338</v>
      </c>
      <c r="J475" s="5" t="s">
        <v>331</v>
      </c>
      <c r="K475" s="5" t="s">
        <v>886</v>
      </c>
      <c r="L475" s="6" t="s">
        <v>541</v>
      </c>
      <c r="M475" s="6" t="s">
        <v>469</v>
      </c>
      <c r="N475" s="6" t="s">
        <v>1662</v>
      </c>
      <c r="P475" s="6">
        <v>1</v>
      </c>
      <c r="Q475" s="5"/>
      <c r="R475" s="5"/>
      <c r="S475" s="5"/>
    </row>
    <row r="476" spans="2:19" ht="16.5" customHeight="1" x14ac:dyDescent="0.2">
      <c r="B476" s="6">
        <v>404</v>
      </c>
      <c r="C476" s="6">
        <v>204</v>
      </c>
      <c r="D476" s="33" t="s">
        <v>2252</v>
      </c>
      <c r="E476" s="6" t="s">
        <v>915</v>
      </c>
      <c r="F476" s="33" t="s">
        <v>2495</v>
      </c>
      <c r="G476" s="9" t="s">
        <v>2494</v>
      </c>
      <c r="H476" s="33" t="s">
        <v>2495</v>
      </c>
      <c r="I476" s="33" t="s">
        <v>2495</v>
      </c>
      <c r="J476" s="6" t="s">
        <v>2496</v>
      </c>
      <c r="K476" s="6" t="s">
        <v>309</v>
      </c>
      <c r="L476" s="6" t="s">
        <v>2307</v>
      </c>
      <c r="M476" s="49" t="s">
        <v>469</v>
      </c>
      <c r="N476" s="49" t="s">
        <v>1663</v>
      </c>
      <c r="P476" s="6"/>
      <c r="Q476" s="5"/>
      <c r="R476" s="5"/>
      <c r="S476" s="5"/>
    </row>
    <row r="477" spans="2:19" ht="16.5" customHeight="1" x14ac:dyDescent="0.2">
      <c r="B477" s="6">
        <v>407</v>
      </c>
      <c r="C477" s="6">
        <v>207</v>
      </c>
      <c r="D477" s="45" t="s">
        <v>2308</v>
      </c>
      <c r="E477" s="6" t="s">
        <v>915</v>
      </c>
      <c r="F477" s="33" t="s">
        <v>2500</v>
      </c>
      <c r="G477" s="37" t="s">
        <v>2499</v>
      </c>
      <c r="H477" s="33" t="s">
        <v>2500</v>
      </c>
      <c r="I477" s="33" t="s">
        <v>2500</v>
      </c>
      <c r="J477" s="6" t="s">
        <v>2496</v>
      </c>
      <c r="K477" s="6" t="s">
        <v>309</v>
      </c>
      <c r="L477" s="6" t="s">
        <v>2307</v>
      </c>
      <c r="M477" s="49" t="s">
        <v>469</v>
      </c>
      <c r="N477" s="49" t="s">
        <v>1663</v>
      </c>
      <c r="P477" s="6"/>
      <c r="Q477" s="5"/>
      <c r="R477" s="5"/>
      <c r="S477" s="5"/>
    </row>
    <row r="478" spans="2:19" ht="16.5" customHeight="1" x14ac:dyDescent="0.2">
      <c r="B478" s="6">
        <v>109</v>
      </c>
      <c r="C478" s="6">
        <v>109</v>
      </c>
      <c r="D478" s="45" t="s">
        <v>1510</v>
      </c>
      <c r="E478" s="45" t="s">
        <v>1511</v>
      </c>
      <c r="F478" s="5" t="s">
        <v>340</v>
      </c>
      <c r="G478" s="5" t="s">
        <v>1182</v>
      </c>
      <c r="H478" s="5" t="s">
        <v>340</v>
      </c>
      <c r="I478" s="45" t="s">
        <v>340</v>
      </c>
      <c r="J478" s="5" t="s">
        <v>331</v>
      </c>
      <c r="K478" s="5" t="s">
        <v>886</v>
      </c>
      <c r="L478" s="6" t="s">
        <v>541</v>
      </c>
      <c r="M478" s="6" t="s">
        <v>469</v>
      </c>
      <c r="N478" s="6" t="s">
        <v>1662</v>
      </c>
      <c r="P478" s="6">
        <v>1</v>
      </c>
      <c r="Q478" s="5"/>
      <c r="R478" s="5"/>
      <c r="S478" s="5"/>
    </row>
    <row r="479" spans="2:19" ht="16.5" customHeight="1" x14ac:dyDescent="0.2">
      <c r="B479" s="6">
        <f>600+Tabla3[[#This Row],[interno]]</f>
        <v>627</v>
      </c>
      <c r="C479" s="6">
        <v>27</v>
      </c>
      <c r="D479" s="80">
        <v>3781165262</v>
      </c>
      <c r="E479" s="46">
        <v>3781165262</v>
      </c>
      <c r="F479" s="5" t="s">
        <v>554</v>
      </c>
      <c r="G479" s="5" t="s">
        <v>1183</v>
      </c>
      <c r="H479" s="5" t="s">
        <v>554</v>
      </c>
      <c r="I479" s="5" t="s">
        <v>554</v>
      </c>
      <c r="J479" s="5" t="s">
        <v>219</v>
      </c>
      <c r="K479" s="5" t="s">
        <v>341</v>
      </c>
      <c r="L479" s="6" t="s">
        <v>514</v>
      </c>
      <c r="M479" s="49" t="s">
        <v>469</v>
      </c>
      <c r="N479" s="49" t="s">
        <v>1665</v>
      </c>
      <c r="O479" s="49"/>
      <c r="P479" s="6">
        <v>1</v>
      </c>
      <c r="Q479" s="5"/>
      <c r="R479" s="5"/>
      <c r="S479" s="5"/>
    </row>
    <row r="480" spans="2:19" ht="16.5" customHeight="1" x14ac:dyDescent="0.2">
      <c r="B480" s="6">
        <v>413</v>
      </c>
      <c r="C480" s="6">
        <v>213</v>
      </c>
      <c r="D480" s="45" t="s">
        <v>2314</v>
      </c>
      <c r="E480" s="6" t="s">
        <v>915</v>
      </c>
      <c r="F480" s="33" t="s">
        <v>507</v>
      </c>
      <c r="G480" s="37" t="s">
        <v>2675</v>
      </c>
      <c r="H480" s="33" t="s">
        <v>507</v>
      </c>
      <c r="I480" s="33" t="s">
        <v>507</v>
      </c>
      <c r="J480" s="6" t="s">
        <v>2333</v>
      </c>
      <c r="K480" s="6" t="s">
        <v>1095</v>
      </c>
      <c r="L480" s="6" t="s">
        <v>514</v>
      </c>
      <c r="M480" s="6" t="s">
        <v>469</v>
      </c>
      <c r="N480" s="49" t="s">
        <v>1663</v>
      </c>
      <c r="P480" s="6"/>
      <c r="Q480" s="5"/>
      <c r="R480" s="5"/>
      <c r="S480" s="5"/>
    </row>
    <row r="481" spans="2:19" ht="16.5" customHeight="1" x14ac:dyDescent="0.2">
      <c r="B481" s="6">
        <f>800+Tabla3[[#This Row],[interno]]</f>
        <v>811</v>
      </c>
      <c r="C481" s="6">
        <v>11</v>
      </c>
      <c r="D481" s="46">
        <v>3781166710</v>
      </c>
      <c r="E481" s="46">
        <v>3781166710</v>
      </c>
      <c r="F481" s="5" t="s">
        <v>507</v>
      </c>
      <c r="G481" s="5" t="s">
        <v>2008</v>
      </c>
      <c r="H481" s="5" t="s">
        <v>507</v>
      </c>
      <c r="I481" s="5" t="s">
        <v>507</v>
      </c>
      <c r="J481" s="5" t="s">
        <v>219</v>
      </c>
      <c r="K481" s="5" t="s">
        <v>886</v>
      </c>
      <c r="L481" s="6" t="s">
        <v>541</v>
      </c>
      <c r="M481" s="49" t="s">
        <v>469</v>
      </c>
      <c r="N481" s="49" t="s">
        <v>2009</v>
      </c>
      <c r="O481" s="49"/>
      <c r="P481" s="6">
        <v>1</v>
      </c>
      <c r="Q481" s="5"/>
      <c r="R481" s="5"/>
      <c r="S481" s="5"/>
    </row>
    <row r="482" spans="2:19" ht="16.5" customHeight="1" x14ac:dyDescent="0.2">
      <c r="B482" s="6">
        <v>60</v>
      </c>
      <c r="C482" s="6">
        <v>60</v>
      </c>
      <c r="D482" s="45" t="s">
        <v>1433</v>
      </c>
      <c r="E482" s="45" t="s">
        <v>1434</v>
      </c>
      <c r="F482" s="5" t="s">
        <v>343</v>
      </c>
      <c r="G482" s="5" t="s">
        <v>1184</v>
      </c>
      <c r="H482" s="5" t="s">
        <v>343</v>
      </c>
      <c r="I482" s="45" t="s">
        <v>343</v>
      </c>
      <c r="J482" s="5" t="s">
        <v>219</v>
      </c>
      <c r="K482" s="5" t="s">
        <v>341</v>
      </c>
      <c r="L482" s="6" t="s">
        <v>514</v>
      </c>
      <c r="M482" s="6" t="s">
        <v>469</v>
      </c>
      <c r="N482" s="6" t="s">
        <v>1662</v>
      </c>
      <c r="P482" s="6">
        <v>1</v>
      </c>
      <c r="Q482" s="5"/>
      <c r="R482" s="5"/>
      <c r="S482" s="5"/>
    </row>
    <row r="483" spans="2:19" ht="16.5" customHeight="1" x14ac:dyDescent="0.2">
      <c r="B483" s="6">
        <v>53</v>
      </c>
      <c r="C483" s="6">
        <v>53</v>
      </c>
      <c r="D483" s="45" t="s">
        <v>1435</v>
      </c>
      <c r="E483" s="45" t="s">
        <v>1436</v>
      </c>
      <c r="F483" s="5" t="s">
        <v>345</v>
      </c>
      <c r="G483" s="5" t="s">
        <v>1185</v>
      </c>
      <c r="H483" s="5" t="s">
        <v>345</v>
      </c>
      <c r="I483" s="45" t="s">
        <v>345</v>
      </c>
      <c r="J483" s="5" t="s">
        <v>219</v>
      </c>
      <c r="K483" s="5" t="s">
        <v>94</v>
      </c>
      <c r="L483" s="6" t="s">
        <v>514</v>
      </c>
      <c r="M483" s="6" t="s">
        <v>469</v>
      </c>
      <c r="N483" s="6" t="s">
        <v>1662</v>
      </c>
      <c r="P483" s="6">
        <v>1</v>
      </c>
      <c r="Q483" s="5"/>
      <c r="R483" s="5"/>
      <c r="S483" s="5"/>
    </row>
    <row r="484" spans="2:19" ht="16.5" customHeight="1" x14ac:dyDescent="0.2">
      <c r="B484" s="6">
        <f>600+Tabla3[[#This Row],[interno]]</f>
        <v>628</v>
      </c>
      <c r="C484" s="6">
        <v>28</v>
      </c>
      <c r="D484" s="80">
        <v>3781166603</v>
      </c>
      <c r="E484" s="46">
        <v>3781165262</v>
      </c>
      <c r="F484" s="5" t="s">
        <v>552</v>
      </c>
      <c r="G484" s="5" t="s">
        <v>55</v>
      </c>
      <c r="H484" s="5" t="s">
        <v>552</v>
      </c>
      <c r="I484" s="5" t="s">
        <v>552</v>
      </c>
      <c r="J484" s="5" t="s">
        <v>219</v>
      </c>
      <c r="K484" s="5" t="s">
        <v>180</v>
      </c>
      <c r="L484" s="6" t="s">
        <v>514</v>
      </c>
      <c r="M484" s="49" t="s">
        <v>469</v>
      </c>
      <c r="N484" s="49" t="s">
        <v>1665</v>
      </c>
      <c r="O484" s="49"/>
      <c r="P484" s="6">
        <v>1</v>
      </c>
      <c r="Q484" s="5"/>
      <c r="R484" s="5"/>
      <c r="S484" s="5"/>
    </row>
    <row r="485" spans="2:19" ht="16.5" customHeight="1" x14ac:dyDescent="0.2">
      <c r="B485" s="6">
        <f>600+Tabla3[[#This Row],[interno]]</f>
        <v>612</v>
      </c>
      <c r="C485" s="6">
        <v>12</v>
      </c>
      <c r="D485" s="80">
        <v>3331156683</v>
      </c>
      <c r="E485" s="46">
        <v>3331156683</v>
      </c>
      <c r="F485" s="5" t="s">
        <v>553</v>
      </c>
      <c r="G485" s="5" t="s">
        <v>499</v>
      </c>
      <c r="H485" s="5" t="s">
        <v>553</v>
      </c>
      <c r="I485" s="5" t="s">
        <v>553</v>
      </c>
      <c r="J485" s="5" t="s">
        <v>219</v>
      </c>
      <c r="K485" s="5" t="s">
        <v>38</v>
      </c>
      <c r="L485" s="6" t="s">
        <v>514</v>
      </c>
      <c r="M485" s="49" t="s">
        <v>469</v>
      </c>
      <c r="N485" s="49" t="s">
        <v>1665</v>
      </c>
      <c r="O485" s="49"/>
      <c r="P485" s="6">
        <v>1</v>
      </c>
      <c r="Q485" s="5"/>
      <c r="R485" s="5"/>
      <c r="S485" s="5"/>
    </row>
    <row r="486" spans="2:19" ht="16.5" customHeight="1" x14ac:dyDescent="0.2">
      <c r="B486" s="6">
        <v>70</v>
      </c>
      <c r="C486" s="6">
        <v>70</v>
      </c>
      <c r="D486" s="45" t="s">
        <v>1476</v>
      </c>
      <c r="E486" s="45" t="s">
        <v>1477</v>
      </c>
      <c r="F486" s="5" t="s">
        <v>347</v>
      </c>
      <c r="G486" s="5" t="s">
        <v>1893</v>
      </c>
      <c r="H486" s="5" t="s">
        <v>347</v>
      </c>
      <c r="I486" s="45" t="s">
        <v>347</v>
      </c>
      <c r="J486" s="5" t="s">
        <v>219</v>
      </c>
      <c r="K486" s="5" t="s">
        <v>123</v>
      </c>
      <c r="L486" s="6" t="s">
        <v>541</v>
      </c>
      <c r="M486" s="6" t="s">
        <v>469</v>
      </c>
      <c r="N486" s="6" t="s">
        <v>1662</v>
      </c>
      <c r="P486" s="6">
        <v>1</v>
      </c>
      <c r="Q486" s="5"/>
      <c r="R486" s="5"/>
      <c r="S486" s="5"/>
    </row>
    <row r="487" spans="2:19" ht="16.5" customHeight="1" x14ac:dyDescent="0.2">
      <c r="B487" s="6">
        <v>362</v>
      </c>
      <c r="C487" s="6">
        <v>162</v>
      </c>
      <c r="D487" s="33" t="s">
        <v>2207</v>
      </c>
      <c r="E487" s="6" t="s">
        <v>915</v>
      </c>
      <c r="F487" s="70" t="s">
        <v>2661</v>
      </c>
      <c r="G487" s="71" t="s">
        <v>2667</v>
      </c>
      <c r="H487" s="70" t="s">
        <v>2661</v>
      </c>
      <c r="I487" s="70" t="s">
        <v>2661</v>
      </c>
      <c r="J487" s="72" t="s">
        <v>2102</v>
      </c>
      <c r="K487" s="72" t="s">
        <v>1087</v>
      </c>
      <c r="L487" s="72" t="s">
        <v>1087</v>
      </c>
      <c r="M487" s="72" t="s">
        <v>2099</v>
      </c>
      <c r="N487" s="72" t="s">
        <v>1663</v>
      </c>
      <c r="O487" s="73">
        <v>44949</v>
      </c>
      <c r="P487" s="6"/>
      <c r="Q487" s="5"/>
      <c r="R487" s="5"/>
      <c r="S487" s="5"/>
    </row>
    <row r="488" spans="2:19" ht="16.5" customHeight="1" x14ac:dyDescent="0.2">
      <c r="B488" s="6">
        <v>363</v>
      </c>
      <c r="C488" s="6">
        <v>163</v>
      </c>
      <c r="D488" s="33" t="s">
        <v>2208</v>
      </c>
      <c r="E488" s="6" t="s">
        <v>915</v>
      </c>
      <c r="F488" s="70" t="s">
        <v>2662</v>
      </c>
      <c r="G488" s="71" t="s">
        <v>2663</v>
      </c>
      <c r="H488" s="70" t="s">
        <v>2662</v>
      </c>
      <c r="I488" s="70" t="s">
        <v>2662</v>
      </c>
      <c r="J488" s="72" t="s">
        <v>2102</v>
      </c>
      <c r="K488" s="72" t="s">
        <v>1087</v>
      </c>
      <c r="L488" s="72" t="s">
        <v>1087</v>
      </c>
      <c r="M488" s="72" t="s">
        <v>2099</v>
      </c>
      <c r="N488" s="72" t="s">
        <v>1663</v>
      </c>
      <c r="O488" s="73">
        <v>44949</v>
      </c>
      <c r="P488" s="6"/>
      <c r="Q488" s="5"/>
      <c r="R488" s="5"/>
      <c r="S488" s="5"/>
    </row>
    <row r="489" spans="2:19" ht="16.5" customHeight="1" x14ac:dyDescent="0.2">
      <c r="B489" s="6">
        <v>360</v>
      </c>
      <c r="C489" s="6">
        <v>160</v>
      </c>
      <c r="D489" s="33" t="s">
        <v>2205</v>
      </c>
      <c r="E489" s="6" t="s">
        <v>915</v>
      </c>
      <c r="F489" s="70" t="s">
        <v>2659</v>
      </c>
      <c r="G489" s="71" t="s">
        <v>2665</v>
      </c>
      <c r="H489" s="70" t="s">
        <v>2659</v>
      </c>
      <c r="I489" s="70" t="s">
        <v>2659</v>
      </c>
      <c r="J489" s="72" t="s">
        <v>2102</v>
      </c>
      <c r="K489" s="72" t="s">
        <v>1087</v>
      </c>
      <c r="L489" s="72" t="s">
        <v>1087</v>
      </c>
      <c r="M489" s="72" t="s">
        <v>2099</v>
      </c>
      <c r="N489" s="72" t="s">
        <v>1663</v>
      </c>
      <c r="O489" s="73">
        <v>44949</v>
      </c>
      <c r="P489" s="6"/>
      <c r="Q489" s="5"/>
      <c r="R489" s="5"/>
      <c r="S489" s="5"/>
    </row>
    <row r="490" spans="2:19" ht="16.5" customHeight="1" x14ac:dyDescent="0.2">
      <c r="B490" s="6">
        <v>358</v>
      </c>
      <c r="C490" s="6">
        <v>158</v>
      </c>
      <c r="D490" s="33" t="s">
        <v>2203</v>
      </c>
      <c r="E490" s="6" t="s">
        <v>915</v>
      </c>
      <c r="F490" s="70" t="s">
        <v>2658</v>
      </c>
      <c r="G490" s="71" t="s">
        <v>2664</v>
      </c>
      <c r="H490" s="70" t="s">
        <v>2658</v>
      </c>
      <c r="I490" s="70" t="s">
        <v>2658</v>
      </c>
      <c r="J490" s="72" t="s">
        <v>2102</v>
      </c>
      <c r="K490" s="72" t="s">
        <v>1087</v>
      </c>
      <c r="L490" s="72" t="s">
        <v>1087</v>
      </c>
      <c r="M490" s="72" t="s">
        <v>2099</v>
      </c>
      <c r="N490" s="72" t="s">
        <v>1663</v>
      </c>
      <c r="O490" s="73">
        <v>44949</v>
      </c>
      <c r="P490" s="6"/>
      <c r="Q490" s="5"/>
      <c r="R490" s="5"/>
      <c r="S490" s="5"/>
    </row>
    <row r="491" spans="2:19" ht="16.5" customHeight="1" x14ac:dyDescent="0.2">
      <c r="B491" s="6">
        <v>357</v>
      </c>
      <c r="C491" s="6">
        <v>157</v>
      </c>
      <c r="D491" s="33" t="s">
        <v>2202</v>
      </c>
      <c r="E491" s="6" t="s">
        <v>915</v>
      </c>
      <c r="F491" s="70" t="s">
        <v>2657</v>
      </c>
      <c r="G491" s="71" t="s">
        <v>2668</v>
      </c>
      <c r="H491" s="70" t="s">
        <v>2657</v>
      </c>
      <c r="I491" s="70" t="s">
        <v>2657</v>
      </c>
      <c r="J491" s="72" t="s">
        <v>2102</v>
      </c>
      <c r="K491" s="72" t="s">
        <v>1087</v>
      </c>
      <c r="L491" s="72" t="s">
        <v>1087</v>
      </c>
      <c r="M491" s="72" t="s">
        <v>2099</v>
      </c>
      <c r="N491" s="72" t="s">
        <v>1663</v>
      </c>
      <c r="O491" s="73">
        <v>44949</v>
      </c>
      <c r="P491" s="6"/>
      <c r="Q491" s="5"/>
      <c r="R491" s="5"/>
      <c r="S491" s="5"/>
    </row>
    <row r="492" spans="2:19" ht="16.5" customHeight="1" x14ac:dyDescent="0.2">
      <c r="B492" s="6">
        <v>361</v>
      </c>
      <c r="C492" s="6">
        <v>161</v>
      </c>
      <c r="D492" s="33" t="s">
        <v>2206</v>
      </c>
      <c r="E492" s="6" t="s">
        <v>915</v>
      </c>
      <c r="F492" s="70" t="s">
        <v>2660</v>
      </c>
      <c r="G492" s="71" t="s">
        <v>2666</v>
      </c>
      <c r="H492" s="70" t="s">
        <v>2660</v>
      </c>
      <c r="I492" s="70" t="s">
        <v>2660</v>
      </c>
      <c r="J492" s="72" t="s">
        <v>2102</v>
      </c>
      <c r="K492" s="72" t="s">
        <v>1087</v>
      </c>
      <c r="L492" s="72" t="s">
        <v>1087</v>
      </c>
      <c r="M492" s="72" t="s">
        <v>2099</v>
      </c>
      <c r="N492" s="72" t="s">
        <v>1663</v>
      </c>
      <c r="O492" s="73">
        <v>44949</v>
      </c>
      <c r="P492" s="6"/>
      <c r="Q492" s="5"/>
      <c r="R492" s="5"/>
      <c r="S492" s="5"/>
    </row>
    <row r="493" spans="2:19" ht="16.5" customHeight="1" x14ac:dyDescent="0.2">
      <c r="B493" s="6">
        <v>555</v>
      </c>
      <c r="D493" s="33" t="s">
        <v>2040</v>
      </c>
      <c r="E493" s="6" t="s">
        <v>472</v>
      </c>
      <c r="F493" s="37" t="s">
        <v>2064</v>
      </c>
      <c r="G493" s="33" t="s">
        <v>2065</v>
      </c>
      <c r="H493" s="33" t="s">
        <v>2064</v>
      </c>
      <c r="I493" s="33" t="s">
        <v>2064</v>
      </c>
      <c r="J493" s="6" t="s">
        <v>2066</v>
      </c>
      <c r="K493" s="6" t="s">
        <v>2067</v>
      </c>
      <c r="L493" s="6" t="s">
        <v>2068</v>
      </c>
      <c r="M493" s="6" t="s">
        <v>1724</v>
      </c>
      <c r="N493" s="6" t="s">
        <v>2038</v>
      </c>
      <c r="O493" s="43">
        <v>44925</v>
      </c>
      <c r="Q493" s="5"/>
      <c r="R493" s="5"/>
      <c r="S493" s="5"/>
    </row>
    <row r="494" spans="2:19" ht="16.5" customHeight="1" x14ac:dyDescent="0.2">
      <c r="B494" s="6">
        <v>533</v>
      </c>
      <c r="C494" s="6">
        <v>333</v>
      </c>
      <c r="D494" s="33" t="s">
        <v>2616</v>
      </c>
      <c r="E494" s="6"/>
      <c r="F494" s="45" t="s">
        <v>2684</v>
      </c>
      <c r="G494" s="9" t="s">
        <v>2685</v>
      </c>
      <c r="N494" s="49" t="s">
        <v>1663</v>
      </c>
      <c r="O494" s="43">
        <v>44956</v>
      </c>
      <c r="P494" s="6"/>
      <c r="Q494" s="5"/>
      <c r="R494" s="5"/>
      <c r="S494" s="5"/>
    </row>
    <row r="495" spans="2:19" ht="16.5" customHeight="1" x14ac:dyDescent="0.2">
      <c r="B495" s="6">
        <v>536</v>
      </c>
      <c r="C495" s="6">
        <v>336</v>
      </c>
      <c r="D495" s="33" t="s">
        <v>2619</v>
      </c>
      <c r="E495" s="6"/>
      <c r="F495" s="45" t="s">
        <v>2686</v>
      </c>
      <c r="G495" s="9" t="s">
        <v>2685</v>
      </c>
      <c r="N495" s="49" t="s">
        <v>1663</v>
      </c>
      <c r="O495" s="43">
        <v>44956</v>
      </c>
      <c r="P495" s="6"/>
      <c r="Q495" s="5"/>
      <c r="R495" s="5"/>
      <c r="S495" s="5"/>
    </row>
    <row r="496" spans="2:19" ht="16.5" customHeight="1" x14ac:dyDescent="0.2">
      <c r="B496" s="6">
        <v>535</v>
      </c>
      <c r="C496" s="6">
        <v>335</v>
      </c>
      <c r="D496" s="33" t="s">
        <v>2618</v>
      </c>
      <c r="E496" s="6"/>
      <c r="F496" s="45" t="s">
        <v>2703</v>
      </c>
      <c r="G496" s="9" t="s">
        <v>2765</v>
      </c>
      <c r="H496" s="33" t="s">
        <v>2703</v>
      </c>
      <c r="I496" s="33" t="s">
        <v>2703</v>
      </c>
      <c r="J496" s="6" t="s">
        <v>2701</v>
      </c>
      <c r="K496" s="6" t="s">
        <v>2702</v>
      </c>
      <c r="L496" s="6" t="s">
        <v>514</v>
      </c>
      <c r="M496" s="6" t="s">
        <v>469</v>
      </c>
      <c r="N496" s="49" t="s">
        <v>1663</v>
      </c>
      <c r="O496" s="43"/>
      <c r="P496" s="6"/>
      <c r="Q496" s="5"/>
      <c r="R496" s="5"/>
      <c r="S496" s="5"/>
    </row>
    <row r="497" spans="2:19" ht="16.5" customHeight="1" x14ac:dyDescent="0.2">
      <c r="B497" s="6">
        <v>554</v>
      </c>
      <c r="C497" s="6">
        <v>354</v>
      </c>
      <c r="D497" s="33" t="s">
        <v>2753</v>
      </c>
      <c r="E497" s="6"/>
      <c r="F497" s="45" t="s">
        <v>2768</v>
      </c>
      <c r="G497" s="9" t="s">
        <v>2769</v>
      </c>
      <c r="H497" s="33" t="s">
        <v>2768</v>
      </c>
      <c r="I497" s="33" t="s">
        <v>2768</v>
      </c>
      <c r="J497" s="6" t="s">
        <v>2701</v>
      </c>
      <c r="K497" s="6" t="s">
        <v>2702</v>
      </c>
      <c r="L497" s="6" t="s">
        <v>514</v>
      </c>
      <c r="M497" s="6" t="s">
        <v>469</v>
      </c>
      <c r="N497" s="49" t="s">
        <v>1663</v>
      </c>
      <c r="O497" s="43"/>
      <c r="P497" s="6"/>
      <c r="Q497" s="5"/>
      <c r="R497" s="5"/>
      <c r="S497" s="5"/>
    </row>
    <row r="498" spans="2:19" ht="16.5" customHeight="1" x14ac:dyDescent="0.2">
      <c r="B498" s="6">
        <v>569</v>
      </c>
      <c r="C498" s="6">
        <v>369</v>
      </c>
      <c r="D498" s="33" t="s">
        <v>2807</v>
      </c>
      <c r="E498" s="6"/>
      <c r="F498" s="45" t="s">
        <v>2801</v>
      </c>
      <c r="G498" s="9" t="s">
        <v>2802</v>
      </c>
      <c r="H498" s="33" t="s">
        <v>2801</v>
      </c>
      <c r="I498" s="33" t="s">
        <v>2801</v>
      </c>
      <c r="J498" s="6" t="s">
        <v>2701</v>
      </c>
      <c r="K498" s="6" t="s">
        <v>2702</v>
      </c>
      <c r="L498" s="6" t="s">
        <v>514</v>
      </c>
      <c r="M498" s="6" t="s">
        <v>469</v>
      </c>
      <c r="N498" s="49" t="s">
        <v>1663</v>
      </c>
      <c r="O498" s="43"/>
      <c r="P498" s="6"/>
      <c r="Q498" s="5"/>
      <c r="R498" s="5"/>
      <c r="S498" s="5"/>
    </row>
    <row r="499" spans="2:19" ht="16.5" customHeight="1" x14ac:dyDescent="0.2">
      <c r="B499" s="6">
        <v>553</v>
      </c>
      <c r="C499" s="6">
        <v>353</v>
      </c>
      <c r="D499" s="33" t="s">
        <v>2752</v>
      </c>
      <c r="E499" s="6"/>
      <c r="F499" s="45" t="s">
        <v>2766</v>
      </c>
      <c r="G499" s="9" t="s">
        <v>2767</v>
      </c>
      <c r="H499" s="33" t="s">
        <v>2766</v>
      </c>
      <c r="I499" s="33" t="s">
        <v>2766</v>
      </c>
      <c r="J499" s="6" t="s">
        <v>2701</v>
      </c>
      <c r="K499" s="6" t="s">
        <v>2702</v>
      </c>
      <c r="L499" s="6" t="s">
        <v>514</v>
      </c>
      <c r="M499" s="6" t="s">
        <v>469</v>
      </c>
      <c r="N499" s="49" t="s">
        <v>1663</v>
      </c>
      <c r="O499" s="43"/>
      <c r="P499" s="6"/>
      <c r="Q499" s="5"/>
      <c r="R499" s="5"/>
      <c r="S499" s="5"/>
    </row>
    <row r="500" spans="2:19" ht="16.5" customHeight="1" x14ac:dyDescent="0.2">
      <c r="B500" s="6">
        <v>564</v>
      </c>
      <c r="C500" s="6">
        <v>364</v>
      </c>
      <c r="D500" s="33" t="s">
        <v>2763</v>
      </c>
      <c r="E500" s="6"/>
      <c r="F500" s="45" t="s">
        <v>2788</v>
      </c>
      <c r="G500" s="9" t="s">
        <v>2789</v>
      </c>
      <c r="H500" s="33" t="s">
        <v>2788</v>
      </c>
      <c r="I500" s="33" t="s">
        <v>2788</v>
      </c>
      <c r="J500" s="6" t="s">
        <v>2701</v>
      </c>
      <c r="K500" s="6" t="s">
        <v>2702</v>
      </c>
      <c r="L500" s="6" t="s">
        <v>514</v>
      </c>
      <c r="M500" s="6" t="s">
        <v>469</v>
      </c>
      <c r="N500" s="49" t="s">
        <v>1663</v>
      </c>
      <c r="O500" s="43"/>
      <c r="P500" s="6"/>
      <c r="Q500" s="5"/>
      <c r="R500" s="5"/>
      <c r="S500" s="5"/>
    </row>
    <row r="501" spans="2:19" ht="16.5" customHeight="1" x14ac:dyDescent="0.2">
      <c r="B501" s="6">
        <v>568</v>
      </c>
      <c r="C501" s="6">
        <v>368</v>
      </c>
      <c r="D501" s="33" t="s">
        <v>2806</v>
      </c>
      <c r="E501" s="6"/>
      <c r="F501" s="45" t="s">
        <v>2799</v>
      </c>
      <c r="G501" s="9" t="s">
        <v>2800</v>
      </c>
      <c r="H501" s="33" t="s">
        <v>2799</v>
      </c>
      <c r="I501" s="33" t="s">
        <v>2799</v>
      </c>
      <c r="J501" s="6" t="s">
        <v>2701</v>
      </c>
      <c r="K501" s="6" t="s">
        <v>2702</v>
      </c>
      <c r="L501" s="6" t="s">
        <v>514</v>
      </c>
      <c r="M501" s="6" t="s">
        <v>469</v>
      </c>
      <c r="N501" s="49" t="s">
        <v>1663</v>
      </c>
      <c r="O501" s="43"/>
      <c r="P501" s="6"/>
      <c r="Q501" s="5"/>
      <c r="R501" s="5"/>
      <c r="S501" s="5"/>
    </row>
    <row r="502" spans="2:19" ht="16.5" customHeight="1" x14ac:dyDescent="0.2">
      <c r="B502" s="6">
        <v>559</v>
      </c>
      <c r="C502" s="6">
        <v>359</v>
      </c>
      <c r="D502" s="33" t="s">
        <v>2758</v>
      </c>
      <c r="E502" s="6"/>
      <c r="F502" s="45" t="s">
        <v>2778</v>
      </c>
      <c r="G502" s="9" t="s">
        <v>2779</v>
      </c>
      <c r="H502" s="33" t="s">
        <v>2778</v>
      </c>
      <c r="I502" s="33" t="s">
        <v>2778</v>
      </c>
      <c r="J502" s="6" t="s">
        <v>2701</v>
      </c>
      <c r="K502" s="6" t="s">
        <v>2702</v>
      </c>
      <c r="L502" s="6" t="s">
        <v>514</v>
      </c>
      <c r="M502" s="6" t="s">
        <v>469</v>
      </c>
      <c r="N502" s="49" t="s">
        <v>1663</v>
      </c>
      <c r="O502" s="43"/>
      <c r="P502" s="6"/>
      <c r="Q502" s="5"/>
      <c r="R502" s="5"/>
      <c r="S502" s="5"/>
    </row>
    <row r="503" spans="2:19" ht="16.5" customHeight="1" x14ac:dyDescent="0.2">
      <c r="B503" s="6">
        <v>567</v>
      </c>
      <c r="C503" s="6">
        <v>367</v>
      </c>
      <c r="D503" s="33" t="s">
        <v>2805</v>
      </c>
      <c r="E503" s="6"/>
      <c r="F503" s="45" t="s">
        <v>2797</v>
      </c>
      <c r="G503" s="9" t="s">
        <v>2798</v>
      </c>
      <c r="H503" s="33" t="s">
        <v>2797</v>
      </c>
      <c r="I503" s="33" t="s">
        <v>2797</v>
      </c>
      <c r="J503" s="6" t="s">
        <v>2701</v>
      </c>
      <c r="K503" s="6" t="s">
        <v>2702</v>
      </c>
      <c r="L503" s="6" t="s">
        <v>514</v>
      </c>
      <c r="M503" s="6" t="s">
        <v>469</v>
      </c>
      <c r="N503" s="49" t="s">
        <v>1663</v>
      </c>
      <c r="O503" s="43"/>
      <c r="P503" s="6"/>
      <c r="Q503" s="5"/>
      <c r="R503" s="5"/>
      <c r="S503" s="5"/>
    </row>
    <row r="504" spans="2:19" ht="16.5" customHeight="1" x14ac:dyDescent="0.2">
      <c r="B504" s="6">
        <v>565</v>
      </c>
      <c r="C504" s="6">
        <v>365</v>
      </c>
      <c r="D504" s="33" t="s">
        <v>2803</v>
      </c>
      <c r="E504" s="6"/>
      <c r="F504" s="45" t="s">
        <v>2793</v>
      </c>
      <c r="G504" s="9" t="s">
        <v>2794</v>
      </c>
      <c r="H504" s="33" t="s">
        <v>2793</v>
      </c>
      <c r="I504" s="33" t="s">
        <v>2793</v>
      </c>
      <c r="J504" s="6" t="s">
        <v>2701</v>
      </c>
      <c r="K504" s="6" t="s">
        <v>2702</v>
      </c>
      <c r="L504" s="6" t="s">
        <v>514</v>
      </c>
      <c r="M504" s="6" t="s">
        <v>469</v>
      </c>
      <c r="N504" s="49" t="s">
        <v>1663</v>
      </c>
      <c r="O504" s="43"/>
      <c r="P504" s="6"/>
      <c r="Q504" s="5"/>
      <c r="R504" s="5"/>
      <c r="S504" s="5"/>
    </row>
    <row r="505" spans="2:19" ht="16.5" customHeight="1" x14ac:dyDescent="0.2">
      <c r="B505" s="6">
        <v>563</v>
      </c>
      <c r="C505" s="6">
        <v>363</v>
      </c>
      <c r="D505" s="33" t="s">
        <v>2762</v>
      </c>
      <c r="E505" s="6"/>
      <c r="F505" s="45" t="s">
        <v>2786</v>
      </c>
      <c r="G505" s="9" t="s">
        <v>2787</v>
      </c>
      <c r="H505" s="33" t="s">
        <v>2786</v>
      </c>
      <c r="I505" s="33" t="s">
        <v>2786</v>
      </c>
      <c r="J505" s="6" t="s">
        <v>2701</v>
      </c>
      <c r="K505" s="6" t="s">
        <v>2702</v>
      </c>
      <c r="L505" s="6" t="s">
        <v>514</v>
      </c>
      <c r="M505" s="6" t="s">
        <v>469</v>
      </c>
      <c r="N505" s="49" t="s">
        <v>1663</v>
      </c>
      <c r="O505" s="43"/>
      <c r="P505" s="6"/>
      <c r="Q505" s="5"/>
      <c r="R505" s="5"/>
      <c r="S505" s="5"/>
    </row>
    <row r="506" spans="2:19" ht="16.5" customHeight="1" x14ac:dyDescent="0.2">
      <c r="B506" s="6">
        <v>555</v>
      </c>
      <c r="C506" s="6">
        <v>355</v>
      </c>
      <c r="D506" s="33" t="s">
        <v>2754</v>
      </c>
      <c r="E506" s="6"/>
      <c r="F506" s="45" t="s">
        <v>2770</v>
      </c>
      <c r="G506" s="9" t="s">
        <v>2771</v>
      </c>
      <c r="H506" s="33" t="s">
        <v>2770</v>
      </c>
      <c r="I506" s="33" t="s">
        <v>2770</v>
      </c>
      <c r="J506" s="6" t="s">
        <v>2701</v>
      </c>
      <c r="K506" s="6" t="s">
        <v>2702</v>
      </c>
      <c r="L506" s="6" t="s">
        <v>514</v>
      </c>
      <c r="M506" s="6" t="s">
        <v>469</v>
      </c>
      <c r="N506" s="49" t="s">
        <v>1663</v>
      </c>
      <c r="O506" s="43"/>
      <c r="P506" s="6"/>
      <c r="Q506" s="5"/>
      <c r="R506" s="5"/>
      <c r="S506" s="5"/>
    </row>
    <row r="507" spans="2:19" ht="16.5" customHeight="1" x14ac:dyDescent="0.2">
      <c r="B507" s="6">
        <v>566</v>
      </c>
      <c r="C507" s="6">
        <v>366</v>
      </c>
      <c r="D507" s="33" t="s">
        <v>2804</v>
      </c>
      <c r="E507" s="6"/>
      <c r="F507" s="45" t="s">
        <v>2795</v>
      </c>
      <c r="G507" s="9" t="s">
        <v>2796</v>
      </c>
      <c r="H507" s="33" t="s">
        <v>2795</v>
      </c>
      <c r="I507" s="33" t="s">
        <v>2795</v>
      </c>
      <c r="J507" s="6" t="s">
        <v>2701</v>
      </c>
      <c r="K507" s="6" t="s">
        <v>2702</v>
      </c>
      <c r="L507" s="6" t="s">
        <v>514</v>
      </c>
      <c r="M507" s="6" t="s">
        <v>469</v>
      </c>
      <c r="N507" s="49" t="s">
        <v>1663</v>
      </c>
      <c r="O507" s="43"/>
      <c r="P507" s="6"/>
      <c r="Q507" s="5"/>
      <c r="R507" s="5"/>
      <c r="S507" s="5"/>
    </row>
    <row r="508" spans="2:19" ht="16.5" customHeight="1" x14ac:dyDescent="0.2">
      <c r="B508" s="6">
        <v>556</v>
      </c>
      <c r="C508" s="6">
        <v>356</v>
      </c>
      <c r="D508" s="33" t="s">
        <v>2755</v>
      </c>
      <c r="E508" s="6"/>
      <c r="F508" s="45" t="s">
        <v>2772</v>
      </c>
      <c r="G508" s="9" t="s">
        <v>2773</v>
      </c>
      <c r="H508" s="33" t="s">
        <v>2772</v>
      </c>
      <c r="I508" s="33" t="s">
        <v>2772</v>
      </c>
      <c r="J508" s="6" t="s">
        <v>2701</v>
      </c>
      <c r="K508" s="6" t="s">
        <v>2702</v>
      </c>
      <c r="L508" s="6" t="s">
        <v>514</v>
      </c>
      <c r="M508" s="6" t="s">
        <v>469</v>
      </c>
      <c r="N508" s="49" t="s">
        <v>1663</v>
      </c>
      <c r="O508" s="43"/>
      <c r="P508" s="6"/>
      <c r="Q508" s="5"/>
      <c r="R508" s="5"/>
      <c r="S508" s="5"/>
    </row>
    <row r="509" spans="2:19" ht="16.5" customHeight="1" x14ac:dyDescent="0.2">
      <c r="B509" s="6">
        <v>562</v>
      </c>
      <c r="C509" s="6">
        <v>362</v>
      </c>
      <c r="D509" s="33" t="s">
        <v>2761</v>
      </c>
      <c r="E509" s="6"/>
      <c r="F509" s="45" t="s">
        <v>2784</v>
      </c>
      <c r="G509" s="9" t="s">
        <v>2785</v>
      </c>
      <c r="H509" s="33" t="s">
        <v>2784</v>
      </c>
      <c r="I509" s="33" t="s">
        <v>2784</v>
      </c>
      <c r="J509" s="6" t="s">
        <v>2701</v>
      </c>
      <c r="K509" s="6" t="s">
        <v>2702</v>
      </c>
      <c r="L509" s="6" t="s">
        <v>514</v>
      </c>
      <c r="M509" s="6" t="s">
        <v>469</v>
      </c>
      <c r="N509" s="49" t="s">
        <v>1663</v>
      </c>
      <c r="O509" s="43"/>
      <c r="P509" s="6"/>
      <c r="Q509" s="5"/>
      <c r="R509" s="5"/>
      <c r="S509" s="5"/>
    </row>
    <row r="510" spans="2:19" ht="16.5" customHeight="1" x14ac:dyDescent="0.2">
      <c r="B510" s="6">
        <v>557</v>
      </c>
      <c r="C510" s="6">
        <v>357</v>
      </c>
      <c r="D510" s="33" t="s">
        <v>2756</v>
      </c>
      <c r="E510" s="6"/>
      <c r="F510" s="45" t="s">
        <v>2774</v>
      </c>
      <c r="G510" s="9" t="s">
        <v>2775</v>
      </c>
      <c r="H510" s="33" t="s">
        <v>2774</v>
      </c>
      <c r="I510" s="33" t="s">
        <v>2774</v>
      </c>
      <c r="J510" s="6" t="s">
        <v>2701</v>
      </c>
      <c r="K510" s="6" t="s">
        <v>2702</v>
      </c>
      <c r="L510" s="6" t="s">
        <v>514</v>
      </c>
      <c r="M510" s="6" t="s">
        <v>469</v>
      </c>
      <c r="N510" s="49" t="s">
        <v>1663</v>
      </c>
      <c r="O510" s="43"/>
      <c r="P510" s="6"/>
      <c r="Q510" s="5"/>
      <c r="R510" s="5"/>
      <c r="S510" s="5"/>
    </row>
    <row r="511" spans="2:19" ht="16.5" customHeight="1" x14ac:dyDescent="0.2">
      <c r="B511" s="6">
        <v>561</v>
      </c>
      <c r="C511" s="6">
        <v>361</v>
      </c>
      <c r="D511" s="33" t="s">
        <v>2760</v>
      </c>
      <c r="E511" s="6"/>
      <c r="F511" s="45" t="s">
        <v>2782</v>
      </c>
      <c r="G511" s="9" t="s">
        <v>2783</v>
      </c>
      <c r="H511" s="33" t="s">
        <v>2782</v>
      </c>
      <c r="I511" s="33" t="s">
        <v>2782</v>
      </c>
      <c r="J511" s="6" t="s">
        <v>2701</v>
      </c>
      <c r="K511" s="6" t="s">
        <v>2702</v>
      </c>
      <c r="L511" s="6" t="s">
        <v>514</v>
      </c>
      <c r="M511" s="6" t="s">
        <v>469</v>
      </c>
      <c r="N511" s="49" t="s">
        <v>1663</v>
      </c>
      <c r="O511" s="43"/>
      <c r="P511" s="6"/>
      <c r="Q511" s="5"/>
      <c r="R511" s="5"/>
      <c r="S511" s="5"/>
    </row>
    <row r="512" spans="2:19" ht="16.5" customHeight="1" x14ac:dyDescent="0.2">
      <c r="B512" s="6">
        <v>558</v>
      </c>
      <c r="C512" s="6">
        <v>358</v>
      </c>
      <c r="D512" s="33" t="s">
        <v>2757</v>
      </c>
      <c r="E512" s="6"/>
      <c r="F512" s="45" t="s">
        <v>2776</v>
      </c>
      <c r="G512" s="9" t="s">
        <v>2777</v>
      </c>
      <c r="H512" s="33" t="s">
        <v>2776</v>
      </c>
      <c r="I512" s="33" t="s">
        <v>2776</v>
      </c>
      <c r="J512" s="6" t="s">
        <v>2701</v>
      </c>
      <c r="K512" s="6" t="s">
        <v>2702</v>
      </c>
      <c r="L512" s="6" t="s">
        <v>514</v>
      </c>
      <c r="M512" s="6" t="s">
        <v>469</v>
      </c>
      <c r="N512" s="49" t="s">
        <v>1663</v>
      </c>
      <c r="O512" s="43"/>
      <c r="P512" s="6"/>
      <c r="Q512" s="5"/>
      <c r="R512" s="5"/>
      <c r="S512" s="5"/>
    </row>
    <row r="513" spans="2:19" ht="16.5" customHeight="1" x14ac:dyDescent="0.2">
      <c r="B513" s="6">
        <v>560</v>
      </c>
      <c r="C513" s="6">
        <v>360</v>
      </c>
      <c r="D513" s="33" t="s">
        <v>2759</v>
      </c>
      <c r="E513" s="6"/>
      <c r="F513" s="45" t="s">
        <v>2780</v>
      </c>
      <c r="G513" s="9" t="s">
        <v>2781</v>
      </c>
      <c r="H513" s="33" t="s">
        <v>2780</v>
      </c>
      <c r="I513" s="33" t="s">
        <v>2780</v>
      </c>
      <c r="J513" s="6" t="s">
        <v>2701</v>
      </c>
      <c r="K513" s="6" t="s">
        <v>2702</v>
      </c>
      <c r="L513" s="6" t="s">
        <v>514</v>
      </c>
      <c r="M513" s="6" t="s">
        <v>469</v>
      </c>
      <c r="N513" s="49" t="s">
        <v>1663</v>
      </c>
      <c r="O513" s="43"/>
      <c r="P513" s="6"/>
      <c r="Q513" s="5"/>
      <c r="R513" s="5"/>
      <c r="S513" s="5"/>
    </row>
    <row r="514" spans="2:19" ht="16.5" customHeight="1" x14ac:dyDescent="0.2">
      <c r="B514" s="6">
        <f>800+Tabla3[[#This Row],[interno]]</f>
        <v>805</v>
      </c>
      <c r="C514" s="6">
        <v>5</v>
      </c>
      <c r="D514" s="6">
        <v>5578339131</v>
      </c>
      <c r="E514" s="6">
        <v>5578339131</v>
      </c>
      <c r="F514" s="5" t="s">
        <v>856</v>
      </c>
      <c r="G514" s="5" t="s">
        <v>855</v>
      </c>
      <c r="H514" s="5" t="s">
        <v>856</v>
      </c>
      <c r="I514" s="5" t="s">
        <v>856</v>
      </c>
      <c r="J514" s="5" t="s">
        <v>857</v>
      </c>
      <c r="K514" s="5" t="s">
        <v>76</v>
      </c>
      <c r="L514" s="6" t="s">
        <v>514</v>
      </c>
      <c r="M514" s="49" t="s">
        <v>469</v>
      </c>
      <c r="N514" s="6" t="s">
        <v>1668</v>
      </c>
      <c r="O514" s="43">
        <v>44487</v>
      </c>
      <c r="P514" s="6">
        <v>1</v>
      </c>
      <c r="Q514" s="5">
        <v>50</v>
      </c>
      <c r="R514" s="5"/>
      <c r="S514" s="5"/>
    </row>
    <row r="515" spans="2:19" ht="16.5" customHeight="1" x14ac:dyDescent="0.2">
      <c r="B515" s="6">
        <v>412</v>
      </c>
      <c r="C515" s="6">
        <v>212</v>
      </c>
      <c r="D515" s="45" t="s">
        <v>2313</v>
      </c>
      <c r="E515" s="6" t="s">
        <v>915</v>
      </c>
      <c r="F515" s="5" t="s">
        <v>827</v>
      </c>
      <c r="G515" s="5" t="s">
        <v>1186</v>
      </c>
      <c r="H515" s="5" t="s">
        <v>827</v>
      </c>
      <c r="I515" s="45" t="s">
        <v>827</v>
      </c>
      <c r="J515" s="5" t="s">
        <v>857</v>
      </c>
      <c r="K515" s="5" t="s">
        <v>886</v>
      </c>
      <c r="L515" s="6" t="s">
        <v>541</v>
      </c>
      <c r="M515" s="6" t="s">
        <v>469</v>
      </c>
      <c r="N515" s="49" t="s">
        <v>1663</v>
      </c>
      <c r="P515" s="6"/>
      <c r="Q515" s="5"/>
      <c r="R515" s="5"/>
      <c r="S515" s="5"/>
    </row>
    <row r="516" spans="2:19" ht="16.5" customHeight="1" x14ac:dyDescent="0.2">
      <c r="B516" s="6">
        <v>311</v>
      </c>
      <c r="C516" s="6">
        <v>111</v>
      </c>
      <c r="D516" s="33" t="s">
        <v>1735</v>
      </c>
      <c r="E516" s="6" t="s">
        <v>915</v>
      </c>
      <c r="F516" s="33" t="s">
        <v>1746</v>
      </c>
      <c r="G516" s="5" t="s">
        <v>1854</v>
      </c>
      <c r="H516" s="33" t="s">
        <v>1746</v>
      </c>
      <c r="I516" s="33" t="s">
        <v>1746</v>
      </c>
      <c r="J516" s="5" t="s">
        <v>857</v>
      </c>
      <c r="K516" s="6" t="s">
        <v>1745</v>
      </c>
      <c r="L516" s="6" t="s">
        <v>514</v>
      </c>
      <c r="M516" s="49" t="s">
        <v>469</v>
      </c>
      <c r="N516" s="6" t="s">
        <v>1663</v>
      </c>
      <c r="P516" s="6"/>
      <c r="Q516" s="5"/>
      <c r="R516" s="5"/>
      <c r="S516" s="5"/>
    </row>
    <row r="517" spans="2:19" ht="16.5" customHeight="1" x14ac:dyDescent="0.2">
      <c r="B517" s="6">
        <v>124</v>
      </c>
      <c r="C517" s="6">
        <v>124</v>
      </c>
      <c r="D517" s="45" t="s">
        <v>751</v>
      </c>
      <c r="E517" s="45" t="s">
        <v>778</v>
      </c>
      <c r="F517" s="5" t="s">
        <v>829</v>
      </c>
      <c r="G517" s="5" t="s">
        <v>1187</v>
      </c>
      <c r="H517" s="5" t="s">
        <v>829</v>
      </c>
      <c r="I517" s="45" t="s">
        <v>829</v>
      </c>
      <c r="J517" s="5" t="s">
        <v>857</v>
      </c>
      <c r="K517" s="5" t="s">
        <v>886</v>
      </c>
      <c r="L517" s="6" t="s">
        <v>541</v>
      </c>
      <c r="M517" s="6" t="s">
        <v>469</v>
      </c>
      <c r="N517" s="6" t="s">
        <v>1662</v>
      </c>
      <c r="P517" s="6">
        <v>1</v>
      </c>
      <c r="Q517" s="5"/>
      <c r="R517" s="5"/>
      <c r="S517" s="5"/>
    </row>
    <row r="518" spans="2:19" ht="16.5" customHeight="1" x14ac:dyDescent="0.2">
      <c r="B518" s="6">
        <v>122</v>
      </c>
      <c r="C518" s="6">
        <v>122</v>
      </c>
      <c r="D518" s="45" t="s">
        <v>750</v>
      </c>
      <c r="E518" s="45" t="s">
        <v>777</v>
      </c>
      <c r="F518" s="5" t="s">
        <v>828</v>
      </c>
      <c r="G518" s="5" t="s">
        <v>1188</v>
      </c>
      <c r="H518" s="5" t="s">
        <v>828</v>
      </c>
      <c r="I518" s="45" t="s">
        <v>828</v>
      </c>
      <c r="J518" s="5" t="s">
        <v>857</v>
      </c>
      <c r="K518" s="5" t="s">
        <v>886</v>
      </c>
      <c r="L518" s="6" t="s">
        <v>541</v>
      </c>
      <c r="M518" s="6" t="s">
        <v>469</v>
      </c>
      <c r="N518" s="6" t="s">
        <v>1662</v>
      </c>
      <c r="P518" s="6">
        <v>1</v>
      </c>
      <c r="Q518" s="5"/>
      <c r="R518" s="5"/>
      <c r="S518" s="5"/>
    </row>
    <row r="519" spans="2:19" ht="16.5" customHeight="1" x14ac:dyDescent="0.2">
      <c r="B519" s="6">
        <v>429</v>
      </c>
      <c r="C519" s="6">
        <v>229</v>
      </c>
      <c r="D519" s="45" t="s">
        <v>2330</v>
      </c>
      <c r="E519" s="6" t="s">
        <v>915</v>
      </c>
      <c r="F519" s="5" t="s">
        <v>831</v>
      </c>
      <c r="G519" s="5" t="s">
        <v>1189</v>
      </c>
      <c r="H519" s="5" t="s">
        <v>831</v>
      </c>
      <c r="I519" s="45" t="s">
        <v>831</v>
      </c>
      <c r="J519" s="5" t="s">
        <v>857</v>
      </c>
      <c r="K519" s="5" t="s">
        <v>886</v>
      </c>
      <c r="L519" s="6" t="s">
        <v>541</v>
      </c>
      <c r="M519" s="6" t="s">
        <v>469</v>
      </c>
      <c r="N519" s="49" t="s">
        <v>1663</v>
      </c>
      <c r="P519" s="6"/>
      <c r="Q519" s="5"/>
      <c r="R519" s="5"/>
      <c r="S519" s="5"/>
    </row>
    <row r="520" spans="2:19" ht="16.5" customHeight="1" x14ac:dyDescent="0.2">
      <c r="B520" s="6">
        <v>300</v>
      </c>
      <c r="C520" s="6">
        <v>100</v>
      </c>
      <c r="D520" s="33" t="s">
        <v>1707</v>
      </c>
      <c r="E520" s="6" t="s">
        <v>915</v>
      </c>
      <c r="F520" s="33" t="s">
        <v>2189</v>
      </c>
      <c r="G520" s="37" t="s">
        <v>2188</v>
      </c>
      <c r="H520" s="33" t="s">
        <v>2189</v>
      </c>
      <c r="I520" s="33" t="s">
        <v>2189</v>
      </c>
      <c r="J520" s="45" t="s">
        <v>1980</v>
      </c>
      <c r="K520" s="6" t="s">
        <v>2190</v>
      </c>
      <c r="L520" s="6" t="s">
        <v>514</v>
      </c>
      <c r="M520" s="49" t="s">
        <v>469</v>
      </c>
      <c r="N520" s="6" t="s">
        <v>1663</v>
      </c>
      <c r="P520" s="6"/>
      <c r="Q520" s="5"/>
      <c r="R520" s="5"/>
      <c r="S520" s="5"/>
    </row>
    <row r="521" spans="2:19" ht="16.5" customHeight="1" x14ac:dyDescent="0.2">
      <c r="B521" s="6">
        <v>136</v>
      </c>
      <c r="C521" s="6">
        <v>136</v>
      </c>
      <c r="D521" s="45" t="s">
        <v>740</v>
      </c>
      <c r="E521" s="45" t="s">
        <v>1604</v>
      </c>
      <c r="F521" s="5" t="s">
        <v>816</v>
      </c>
      <c r="G521" s="5" t="s">
        <v>815</v>
      </c>
      <c r="H521" s="5" t="s">
        <v>816</v>
      </c>
      <c r="I521" s="45" t="s">
        <v>816</v>
      </c>
      <c r="J521" s="5" t="s">
        <v>857</v>
      </c>
      <c r="K521" s="5" t="s">
        <v>225</v>
      </c>
      <c r="L521" s="6" t="s">
        <v>514</v>
      </c>
      <c r="M521" s="6" t="s">
        <v>582</v>
      </c>
      <c r="N521" s="6" t="s">
        <v>1662</v>
      </c>
      <c r="P521" s="6">
        <v>1</v>
      </c>
      <c r="Q521" s="5"/>
      <c r="R521" s="5"/>
      <c r="S521" s="5"/>
    </row>
    <row r="522" spans="2:19" ht="16.5" customHeight="1" x14ac:dyDescent="0.2">
      <c r="B522" s="6">
        <v>137</v>
      </c>
      <c r="C522" s="6">
        <v>137</v>
      </c>
      <c r="D522" s="45" t="s">
        <v>741</v>
      </c>
      <c r="E522" s="45" t="s">
        <v>1605</v>
      </c>
      <c r="F522" s="5" t="s">
        <v>818</v>
      </c>
      <c r="G522" s="5" t="s">
        <v>817</v>
      </c>
      <c r="H522" s="5" t="s">
        <v>818</v>
      </c>
      <c r="I522" s="45" t="s">
        <v>818</v>
      </c>
      <c r="J522" s="5" t="s">
        <v>857</v>
      </c>
      <c r="K522" s="5" t="s">
        <v>646</v>
      </c>
      <c r="L522" s="6" t="s">
        <v>514</v>
      </c>
      <c r="M522" s="6" t="s">
        <v>582</v>
      </c>
      <c r="N522" s="6" t="s">
        <v>1662</v>
      </c>
      <c r="P522" s="6">
        <v>1</v>
      </c>
      <c r="Q522" s="5"/>
      <c r="R522" s="5"/>
      <c r="S522" s="5"/>
    </row>
    <row r="523" spans="2:19" ht="16.5" customHeight="1" x14ac:dyDescent="0.2">
      <c r="B523" s="6">
        <v>123</v>
      </c>
      <c r="C523" s="6">
        <v>123</v>
      </c>
      <c r="D523" s="45" t="s">
        <v>752</v>
      </c>
      <c r="E523" s="45" t="s">
        <v>779</v>
      </c>
      <c r="F523" s="5" t="s">
        <v>830</v>
      </c>
      <c r="G523" s="5" t="s">
        <v>1190</v>
      </c>
      <c r="H523" s="5" t="s">
        <v>830</v>
      </c>
      <c r="I523" s="45" t="s">
        <v>830</v>
      </c>
      <c r="J523" s="5" t="s">
        <v>857</v>
      </c>
      <c r="K523" s="5" t="s">
        <v>886</v>
      </c>
      <c r="L523" s="6" t="s">
        <v>541</v>
      </c>
      <c r="M523" s="6" t="s">
        <v>469</v>
      </c>
      <c r="N523" s="6" t="s">
        <v>1662</v>
      </c>
      <c r="P523" s="6">
        <v>1</v>
      </c>
      <c r="Q523" s="5"/>
      <c r="R523" s="5"/>
      <c r="S523" s="5"/>
    </row>
    <row r="524" spans="2:19" ht="16.5" customHeight="1" x14ac:dyDescent="0.2">
      <c r="B524" s="6">
        <v>330</v>
      </c>
      <c r="C524" s="6">
        <v>130</v>
      </c>
      <c r="D524" s="33" t="s">
        <v>1793</v>
      </c>
      <c r="E524" s="6" t="s">
        <v>915</v>
      </c>
      <c r="F524" s="33" t="s">
        <v>1830</v>
      </c>
      <c r="G524" s="37" t="s">
        <v>2117</v>
      </c>
      <c r="H524" s="33" t="s">
        <v>1830</v>
      </c>
      <c r="I524" s="33" t="s">
        <v>1830</v>
      </c>
      <c r="J524" s="5" t="s">
        <v>2118</v>
      </c>
      <c r="K524" s="6" t="s">
        <v>41</v>
      </c>
      <c r="L524" s="6" t="s">
        <v>541</v>
      </c>
      <c r="M524" s="49" t="s">
        <v>469</v>
      </c>
      <c r="N524" s="6" t="s">
        <v>1663</v>
      </c>
      <c r="P524" s="6"/>
      <c r="Q524" s="5"/>
      <c r="R524" s="5"/>
      <c r="S524" s="5"/>
    </row>
    <row r="525" spans="2:19" ht="16.5" customHeight="1" x14ac:dyDescent="0.2">
      <c r="B525" s="6">
        <v>133</v>
      </c>
      <c r="C525" s="6">
        <v>133</v>
      </c>
      <c r="D525" s="45" t="s">
        <v>737</v>
      </c>
      <c r="E525" s="45" t="s">
        <v>1601</v>
      </c>
      <c r="F525" s="5" t="s">
        <v>1092</v>
      </c>
      <c r="G525" s="5" t="s">
        <v>272</v>
      </c>
      <c r="H525" s="5" t="s">
        <v>1092</v>
      </c>
      <c r="I525" s="45" t="s">
        <v>1092</v>
      </c>
      <c r="J525" s="5" t="s">
        <v>857</v>
      </c>
      <c r="K525" s="5" t="s">
        <v>1093</v>
      </c>
      <c r="L525" s="6" t="s">
        <v>514</v>
      </c>
      <c r="M525" s="6" t="s">
        <v>582</v>
      </c>
      <c r="N525" s="6" t="s">
        <v>1662</v>
      </c>
      <c r="P525" s="6">
        <v>1</v>
      </c>
      <c r="Q525" s="5"/>
      <c r="R525" s="5"/>
      <c r="S525" s="5"/>
    </row>
    <row r="526" spans="2:19" ht="16.5" customHeight="1" x14ac:dyDescent="0.2">
      <c r="B526" s="6">
        <v>126</v>
      </c>
      <c r="C526" s="6">
        <v>126</v>
      </c>
      <c r="D526" s="45" t="s">
        <v>753</v>
      </c>
      <c r="E526" s="45" t="s">
        <v>780</v>
      </c>
      <c r="F526" s="5" t="s">
        <v>937</v>
      </c>
      <c r="G526" s="5" t="s">
        <v>1191</v>
      </c>
      <c r="H526" s="5" t="s">
        <v>937</v>
      </c>
      <c r="I526" s="45" t="s">
        <v>937</v>
      </c>
      <c r="J526" s="5" t="s">
        <v>857</v>
      </c>
      <c r="K526" s="5" t="s">
        <v>886</v>
      </c>
      <c r="L526" s="6" t="s">
        <v>541</v>
      </c>
      <c r="M526" s="6" t="s">
        <v>469</v>
      </c>
      <c r="N526" s="6" t="s">
        <v>1662</v>
      </c>
      <c r="P526" s="6"/>
      <c r="Q526" s="5"/>
      <c r="R526" s="5"/>
      <c r="S526" s="5"/>
    </row>
    <row r="527" spans="2:19" ht="16.5" customHeight="1" x14ac:dyDescent="0.2">
      <c r="B527" s="6">
        <v>127</v>
      </c>
      <c r="C527" s="6">
        <v>127</v>
      </c>
      <c r="D527" s="45" t="s">
        <v>754</v>
      </c>
      <c r="E527" s="45" t="s">
        <v>781</v>
      </c>
      <c r="F527" s="5" t="s">
        <v>936</v>
      </c>
      <c r="G527" s="5" t="s">
        <v>1192</v>
      </c>
      <c r="H527" s="5" t="s">
        <v>936</v>
      </c>
      <c r="I527" s="45" t="s">
        <v>936</v>
      </c>
      <c r="J527" s="5" t="s">
        <v>857</v>
      </c>
      <c r="K527" s="5" t="s">
        <v>886</v>
      </c>
      <c r="L527" s="6" t="s">
        <v>541</v>
      </c>
      <c r="M527" s="6" t="s">
        <v>469</v>
      </c>
      <c r="N527" s="6" t="s">
        <v>1662</v>
      </c>
      <c r="P527" s="6"/>
      <c r="Q527" s="5"/>
      <c r="R527" s="5"/>
      <c r="S527" s="5"/>
    </row>
    <row r="528" spans="2:19" ht="16.5" customHeight="1" x14ac:dyDescent="0.2">
      <c r="B528" s="6">
        <v>534</v>
      </c>
      <c r="C528" s="6">
        <v>334</v>
      </c>
      <c r="D528" s="33" t="s">
        <v>2617</v>
      </c>
      <c r="E528" s="6"/>
      <c r="F528" s="45" t="s">
        <v>2700</v>
      </c>
      <c r="G528" s="9" t="s">
        <v>2764</v>
      </c>
      <c r="H528" s="45" t="s">
        <v>2700</v>
      </c>
      <c r="I528" s="45" t="s">
        <v>2700</v>
      </c>
      <c r="J528" s="6" t="s">
        <v>2701</v>
      </c>
      <c r="K528" s="6" t="s">
        <v>2702</v>
      </c>
      <c r="L528" s="6" t="s">
        <v>514</v>
      </c>
      <c r="M528" s="6" t="s">
        <v>469</v>
      </c>
      <c r="N528" s="49" t="s">
        <v>1663</v>
      </c>
      <c r="O528" s="43"/>
      <c r="P528" s="6"/>
      <c r="Q528" s="5"/>
      <c r="R528" s="5"/>
      <c r="S528" s="5"/>
    </row>
    <row r="529" spans="2:19" ht="16.5" customHeight="1" x14ac:dyDescent="0.2">
      <c r="B529" s="6">
        <v>9</v>
      </c>
      <c r="C529" s="6">
        <v>9</v>
      </c>
      <c r="D529" s="45" t="s">
        <v>1976</v>
      </c>
      <c r="E529" s="45" t="s">
        <v>1977</v>
      </c>
      <c r="F529" s="45" t="s">
        <v>1978</v>
      </c>
      <c r="G529" s="5" t="s">
        <v>1979</v>
      </c>
      <c r="H529" s="45" t="s">
        <v>1978</v>
      </c>
      <c r="I529" s="45" t="s">
        <v>1978</v>
      </c>
      <c r="J529" s="5" t="s">
        <v>1980</v>
      </c>
      <c r="K529" s="6" t="s">
        <v>1981</v>
      </c>
      <c r="L529" s="6" t="s">
        <v>514</v>
      </c>
      <c r="M529" s="49" t="s">
        <v>469</v>
      </c>
      <c r="N529" s="6" t="s">
        <v>1662</v>
      </c>
      <c r="P529" s="6"/>
      <c r="Q529" s="5"/>
      <c r="R529" s="5"/>
      <c r="S529" s="5"/>
    </row>
    <row r="530" spans="2:19" ht="16.5" customHeight="1" x14ac:dyDescent="0.2">
      <c r="B530" s="6">
        <v>75</v>
      </c>
      <c r="C530" s="6">
        <v>75</v>
      </c>
      <c r="D530" s="45" t="s">
        <v>634</v>
      </c>
      <c r="E530" s="45" t="s">
        <v>1581</v>
      </c>
      <c r="F530" s="5" t="s">
        <v>625</v>
      </c>
      <c r="G530" s="5" t="s">
        <v>1871</v>
      </c>
      <c r="H530" s="5" t="s">
        <v>625</v>
      </c>
      <c r="I530" s="45" t="s">
        <v>625</v>
      </c>
      <c r="J530" s="5" t="s">
        <v>349</v>
      </c>
      <c r="K530" s="5" t="s">
        <v>822</v>
      </c>
      <c r="L530" s="6" t="s">
        <v>541</v>
      </c>
      <c r="M530" s="6" t="s">
        <v>582</v>
      </c>
      <c r="N530" s="6" t="s">
        <v>1662</v>
      </c>
      <c r="P530" s="6">
        <v>1</v>
      </c>
      <c r="Q530" s="5"/>
      <c r="R530" s="5"/>
      <c r="S530" s="5"/>
    </row>
    <row r="531" spans="2:19" ht="16.5" customHeight="1" x14ac:dyDescent="0.2">
      <c r="B531" s="6">
        <v>112</v>
      </c>
      <c r="C531" s="6">
        <v>112</v>
      </c>
      <c r="D531" s="45" t="s">
        <v>1530</v>
      </c>
      <c r="E531" s="45" t="s">
        <v>1531</v>
      </c>
      <c r="F531" s="5" t="s">
        <v>359</v>
      </c>
      <c r="G531" s="5" t="s">
        <v>358</v>
      </c>
      <c r="H531" s="5" t="s">
        <v>359</v>
      </c>
      <c r="I531" s="45" t="s">
        <v>359</v>
      </c>
      <c r="J531" s="5" t="s">
        <v>349</v>
      </c>
      <c r="K531" s="5" t="s">
        <v>327</v>
      </c>
      <c r="L531" s="6" t="s">
        <v>514</v>
      </c>
      <c r="M531" s="6" t="s">
        <v>469</v>
      </c>
      <c r="N531" s="6" t="s">
        <v>1662</v>
      </c>
      <c r="P531" s="6">
        <v>1</v>
      </c>
      <c r="Q531" s="5"/>
      <c r="R531" s="5"/>
      <c r="S531" s="5"/>
    </row>
    <row r="532" spans="2:19" ht="16.5" customHeight="1" x14ac:dyDescent="0.2">
      <c r="B532" s="6">
        <v>117</v>
      </c>
      <c r="C532" s="6">
        <v>117</v>
      </c>
      <c r="D532" s="45" t="s">
        <v>1546</v>
      </c>
      <c r="E532" s="45" t="s">
        <v>1547</v>
      </c>
      <c r="F532" s="5" t="s">
        <v>361</v>
      </c>
      <c r="G532" s="5" t="s">
        <v>813</v>
      </c>
      <c r="H532" s="5" t="s">
        <v>361</v>
      </c>
      <c r="I532" s="45" t="s">
        <v>361</v>
      </c>
      <c r="J532" s="5" t="s">
        <v>857</v>
      </c>
      <c r="K532" s="5" t="s">
        <v>225</v>
      </c>
      <c r="L532" s="6" t="s">
        <v>514</v>
      </c>
      <c r="M532" s="6" t="s">
        <v>469</v>
      </c>
      <c r="N532" s="6" t="s">
        <v>1662</v>
      </c>
      <c r="P532" s="6">
        <v>1</v>
      </c>
      <c r="Q532" s="5"/>
      <c r="R532" s="5"/>
      <c r="S532" s="5"/>
    </row>
    <row r="533" spans="2:19" ht="16.5" customHeight="1" x14ac:dyDescent="0.2">
      <c r="B533" s="6">
        <v>118</v>
      </c>
      <c r="C533" s="6">
        <v>118</v>
      </c>
      <c r="D533" s="45" t="s">
        <v>1548</v>
      </c>
      <c r="E533" s="45" t="s">
        <v>1549</v>
      </c>
      <c r="F533" s="5" t="s">
        <v>365</v>
      </c>
      <c r="G533" s="5" t="s">
        <v>730</v>
      </c>
      <c r="H533" s="5" t="s">
        <v>365</v>
      </c>
      <c r="I533" s="45" t="s">
        <v>365</v>
      </c>
      <c r="J533" s="5" t="s">
        <v>349</v>
      </c>
      <c r="K533" s="5" t="s">
        <v>28</v>
      </c>
      <c r="L533" s="6" t="s">
        <v>540</v>
      </c>
      <c r="M533" s="6" t="s">
        <v>469</v>
      </c>
      <c r="N533" s="6" t="s">
        <v>1662</v>
      </c>
      <c r="P533" s="6">
        <v>1</v>
      </c>
      <c r="Q533" s="5"/>
      <c r="R533" s="5"/>
      <c r="S533" s="5"/>
    </row>
    <row r="534" spans="2:19" ht="16.5" customHeight="1" x14ac:dyDescent="0.2">
      <c r="B534" s="6">
        <v>383</v>
      </c>
      <c r="C534" s="6">
        <v>183</v>
      </c>
      <c r="D534" s="33" t="s">
        <v>2229</v>
      </c>
      <c r="E534" s="6" t="s">
        <v>915</v>
      </c>
      <c r="F534" s="33" t="s">
        <v>2231</v>
      </c>
      <c r="G534" s="37" t="s">
        <v>2339</v>
      </c>
      <c r="H534" s="33" t="s">
        <v>2231</v>
      </c>
      <c r="I534" s="33" t="s">
        <v>2231</v>
      </c>
      <c r="J534" s="6" t="s">
        <v>2232</v>
      </c>
      <c r="K534" s="6" t="s">
        <v>1095</v>
      </c>
      <c r="L534" s="6" t="s">
        <v>514</v>
      </c>
      <c r="M534" s="49" t="s">
        <v>469</v>
      </c>
      <c r="N534" s="49" t="s">
        <v>1663</v>
      </c>
      <c r="P534" s="6"/>
      <c r="Q534" s="5"/>
      <c r="R534" s="5"/>
      <c r="S534" s="5"/>
    </row>
    <row r="535" spans="2:19" ht="16.5" customHeight="1" x14ac:dyDescent="0.2">
      <c r="B535" s="6">
        <f>600+Tabla3[[#This Row],[interno]]</f>
        <v>629</v>
      </c>
      <c r="C535" s="6">
        <v>29</v>
      </c>
      <c r="D535" s="81">
        <v>3781166711</v>
      </c>
      <c r="E535" s="81">
        <v>3781166711</v>
      </c>
      <c r="F535" s="75" t="s">
        <v>555</v>
      </c>
      <c r="G535" s="75" t="s">
        <v>887</v>
      </c>
      <c r="H535" s="75" t="s">
        <v>555</v>
      </c>
      <c r="I535" s="75" t="s">
        <v>555</v>
      </c>
      <c r="J535" s="75" t="s">
        <v>219</v>
      </c>
      <c r="K535" s="75" t="s">
        <v>309</v>
      </c>
      <c r="L535" s="74" t="s">
        <v>541</v>
      </c>
      <c r="M535" s="76" t="s">
        <v>469</v>
      </c>
      <c r="N535" s="76" t="s">
        <v>1665</v>
      </c>
      <c r="O535" s="76" t="s">
        <v>2813</v>
      </c>
      <c r="P535" s="6">
        <v>1</v>
      </c>
      <c r="Q535" s="5"/>
      <c r="R535" s="5"/>
      <c r="S535" s="5"/>
    </row>
    <row r="536" spans="2:19" ht="16.5" customHeight="1" x14ac:dyDescent="0.2">
      <c r="B536" s="6">
        <v>2</v>
      </c>
      <c r="C536" s="6">
        <v>2</v>
      </c>
      <c r="D536" s="45" t="s">
        <v>1343</v>
      </c>
      <c r="E536" s="45" t="s">
        <v>1344</v>
      </c>
      <c r="F536" s="5" t="s">
        <v>374</v>
      </c>
      <c r="G536" s="5" t="s">
        <v>1193</v>
      </c>
      <c r="H536" s="5" t="s">
        <v>374</v>
      </c>
      <c r="I536" s="45" t="s">
        <v>374</v>
      </c>
      <c r="J536" s="5" t="s">
        <v>258</v>
      </c>
      <c r="K536" s="5" t="s">
        <v>373</v>
      </c>
      <c r="L536" s="6" t="s">
        <v>514</v>
      </c>
      <c r="M536" s="6" t="s">
        <v>469</v>
      </c>
      <c r="N536" s="6" t="s">
        <v>1662</v>
      </c>
      <c r="P536" s="6">
        <v>1</v>
      </c>
      <c r="Q536" s="5"/>
      <c r="R536" s="5"/>
      <c r="S536" s="5"/>
    </row>
    <row r="537" spans="2:19" ht="16.5" customHeight="1" x14ac:dyDescent="0.2">
      <c r="B537" s="6">
        <v>7</v>
      </c>
      <c r="C537" s="6">
        <v>7</v>
      </c>
      <c r="D537" s="45" t="s">
        <v>1353</v>
      </c>
      <c r="E537" s="45" t="s">
        <v>1354</v>
      </c>
      <c r="F537" s="5" t="s">
        <v>376</v>
      </c>
      <c r="G537" s="5" t="s">
        <v>1194</v>
      </c>
      <c r="H537" s="5" t="s">
        <v>376</v>
      </c>
      <c r="I537" s="45" t="s">
        <v>376</v>
      </c>
      <c r="J537" s="5" t="s">
        <v>258</v>
      </c>
      <c r="K537" s="5" t="s">
        <v>373</v>
      </c>
      <c r="L537" s="6" t="s">
        <v>514</v>
      </c>
      <c r="M537" s="6" t="s">
        <v>469</v>
      </c>
      <c r="N537" s="6" t="s">
        <v>1662</v>
      </c>
      <c r="P537" s="6">
        <v>1</v>
      </c>
      <c r="Q537" s="5"/>
      <c r="R537" s="5"/>
      <c r="S537" s="5"/>
    </row>
    <row r="538" spans="2:19" ht="16.5" customHeight="1" x14ac:dyDescent="0.2">
      <c r="B538" s="6">
        <v>1</v>
      </c>
      <c r="C538" s="6">
        <v>1</v>
      </c>
      <c r="D538" s="45" t="s">
        <v>1341</v>
      </c>
      <c r="E538" s="45" t="s">
        <v>1342</v>
      </c>
      <c r="F538" s="5" t="s">
        <v>378</v>
      </c>
      <c r="G538" s="60" t="s">
        <v>2410</v>
      </c>
      <c r="H538" s="5" t="s">
        <v>378</v>
      </c>
      <c r="I538" s="45" t="s">
        <v>378</v>
      </c>
      <c r="J538" s="5" t="s">
        <v>258</v>
      </c>
      <c r="K538" s="5" t="s">
        <v>38</v>
      </c>
      <c r="L538" s="6" t="s">
        <v>514</v>
      </c>
      <c r="M538" s="6" t="s">
        <v>469</v>
      </c>
      <c r="N538" s="6" t="s">
        <v>1662</v>
      </c>
      <c r="P538" s="6">
        <v>1</v>
      </c>
      <c r="Q538" s="5"/>
      <c r="R538" s="5"/>
      <c r="S538" s="5"/>
    </row>
    <row r="539" spans="2:19" ht="16.5" customHeight="1" x14ac:dyDescent="0.2">
      <c r="B539" s="6">
        <v>3</v>
      </c>
      <c r="C539" s="6">
        <v>3</v>
      </c>
      <c r="D539" s="45" t="s">
        <v>1345</v>
      </c>
      <c r="E539" s="45" t="s">
        <v>1346</v>
      </c>
      <c r="F539" s="5" t="s">
        <v>380</v>
      </c>
      <c r="G539" s="5" t="s">
        <v>1195</v>
      </c>
      <c r="H539" s="5" t="s">
        <v>380</v>
      </c>
      <c r="I539" s="45" t="s">
        <v>380</v>
      </c>
      <c r="J539" s="5" t="s">
        <v>258</v>
      </c>
      <c r="K539" s="5" t="s">
        <v>373</v>
      </c>
      <c r="L539" s="6" t="s">
        <v>514</v>
      </c>
      <c r="M539" s="6" t="s">
        <v>469</v>
      </c>
      <c r="N539" s="6" t="s">
        <v>1662</v>
      </c>
      <c r="P539" s="6">
        <v>1</v>
      </c>
      <c r="Q539" s="5"/>
      <c r="R539" s="5"/>
      <c r="S539" s="5"/>
    </row>
    <row r="540" spans="2:19" ht="16.5" customHeight="1" x14ac:dyDescent="0.2">
      <c r="B540" s="6">
        <v>6</v>
      </c>
      <c r="C540" s="6">
        <v>6</v>
      </c>
      <c r="D540" s="45" t="s">
        <v>1351</v>
      </c>
      <c r="E540" s="45" t="s">
        <v>1352</v>
      </c>
      <c r="F540" s="5" t="s">
        <v>382</v>
      </c>
      <c r="G540" s="5" t="s">
        <v>381</v>
      </c>
      <c r="H540" s="5" t="s">
        <v>382</v>
      </c>
      <c r="I540" s="45" t="s">
        <v>382</v>
      </c>
      <c r="J540" s="5" t="s">
        <v>258</v>
      </c>
      <c r="K540" s="5" t="s">
        <v>218</v>
      </c>
      <c r="L540" s="6" t="s">
        <v>514</v>
      </c>
      <c r="M540" s="6" t="s">
        <v>469</v>
      </c>
      <c r="N540" s="6" t="s">
        <v>1662</v>
      </c>
      <c r="P540" s="6">
        <v>1</v>
      </c>
      <c r="Q540" s="5"/>
      <c r="R540" s="5"/>
      <c r="S540" s="5"/>
    </row>
    <row r="541" spans="2:19" ht="16.5" customHeight="1" x14ac:dyDescent="0.2">
      <c r="B541" s="6">
        <v>62</v>
      </c>
      <c r="C541" s="6">
        <v>62</v>
      </c>
      <c r="D541" s="45" t="s">
        <v>1474</v>
      </c>
      <c r="E541" s="45" t="s">
        <v>1475</v>
      </c>
      <c r="F541" s="5" t="s">
        <v>385</v>
      </c>
      <c r="G541" s="5" t="s">
        <v>383</v>
      </c>
      <c r="H541" s="5" t="s">
        <v>385</v>
      </c>
      <c r="I541" s="45" t="s">
        <v>385</v>
      </c>
      <c r="J541" s="5" t="s">
        <v>258</v>
      </c>
      <c r="K541" s="5" t="s">
        <v>1196</v>
      </c>
      <c r="L541" s="6" t="s">
        <v>514</v>
      </c>
      <c r="M541" s="6" t="s">
        <v>469</v>
      </c>
      <c r="N541" s="6" t="s">
        <v>1662</v>
      </c>
      <c r="P541" s="6">
        <v>1</v>
      </c>
      <c r="Q541" s="5"/>
      <c r="R541" s="5"/>
      <c r="S541" s="5"/>
    </row>
    <row r="542" spans="2:19" ht="16.5" customHeight="1" x14ac:dyDescent="0.2">
      <c r="B542" s="6">
        <v>105</v>
      </c>
      <c r="C542" s="6">
        <v>105</v>
      </c>
      <c r="D542" s="45" t="s">
        <v>1520</v>
      </c>
      <c r="E542" s="45" t="s">
        <v>1521</v>
      </c>
      <c r="F542" s="5" t="s">
        <v>387</v>
      </c>
      <c r="G542" s="5" t="s">
        <v>1197</v>
      </c>
      <c r="H542" s="5" t="s">
        <v>387</v>
      </c>
      <c r="I542" s="45" t="s">
        <v>387</v>
      </c>
      <c r="J542" s="5" t="s">
        <v>258</v>
      </c>
      <c r="K542" s="5" t="s">
        <v>886</v>
      </c>
      <c r="L542" s="6" t="s">
        <v>541</v>
      </c>
      <c r="M542" s="6" t="s">
        <v>469</v>
      </c>
      <c r="N542" s="6" t="s">
        <v>1662</v>
      </c>
      <c r="P542" s="6">
        <v>1</v>
      </c>
      <c r="Q542" s="5"/>
      <c r="R542" s="5"/>
      <c r="S542" s="5"/>
    </row>
    <row r="543" spans="2:19" ht="16.5" customHeight="1" x14ac:dyDescent="0.2">
      <c r="B543" s="6">
        <v>47</v>
      </c>
      <c r="C543" s="6">
        <v>47</v>
      </c>
      <c r="D543" s="45" t="s">
        <v>1417</v>
      </c>
      <c r="E543" s="45" t="s">
        <v>1418</v>
      </c>
      <c r="F543" s="5" t="s">
        <v>389</v>
      </c>
      <c r="G543" s="5" t="s">
        <v>388</v>
      </c>
      <c r="H543" s="5" t="s">
        <v>389</v>
      </c>
      <c r="I543" s="45" t="s">
        <v>389</v>
      </c>
      <c r="J543" s="5" t="s">
        <v>258</v>
      </c>
      <c r="K543" s="5" t="s">
        <v>230</v>
      </c>
      <c r="L543" s="6" t="s">
        <v>514</v>
      </c>
      <c r="M543" s="6" t="s">
        <v>469</v>
      </c>
      <c r="N543" s="6" t="s">
        <v>1662</v>
      </c>
      <c r="P543" s="6">
        <v>1</v>
      </c>
      <c r="Q543" s="5"/>
      <c r="R543" s="5"/>
      <c r="S543" s="5"/>
    </row>
    <row r="544" spans="2:19" ht="16.5" customHeight="1" x14ac:dyDescent="0.2">
      <c r="B544" s="6">
        <v>155</v>
      </c>
      <c r="C544" s="6">
        <v>155</v>
      </c>
      <c r="D544" s="45" t="s">
        <v>1554</v>
      </c>
      <c r="E544" s="45" t="s">
        <v>1555</v>
      </c>
      <c r="F544" s="5" t="s">
        <v>395</v>
      </c>
      <c r="G544" s="5" t="s">
        <v>1198</v>
      </c>
      <c r="H544" s="5" t="s">
        <v>395</v>
      </c>
      <c r="I544" s="45" t="s">
        <v>395</v>
      </c>
      <c r="J544" s="5" t="s">
        <v>258</v>
      </c>
      <c r="K544" s="5" t="s">
        <v>38</v>
      </c>
      <c r="L544" s="6" t="s">
        <v>514</v>
      </c>
      <c r="M544" s="6" t="s">
        <v>469</v>
      </c>
      <c r="N544" s="6" t="s">
        <v>1662</v>
      </c>
      <c r="P544" s="6">
        <v>1</v>
      </c>
      <c r="Q544" s="5"/>
      <c r="R544" s="5"/>
      <c r="S544" s="5"/>
    </row>
    <row r="545" spans="2:19" ht="16.5" customHeight="1" x14ac:dyDescent="0.2">
      <c r="B545" s="6">
        <v>153</v>
      </c>
      <c r="C545" s="6">
        <v>153</v>
      </c>
      <c r="D545" s="45" t="s">
        <v>1564</v>
      </c>
      <c r="E545" s="45" t="s">
        <v>1565</v>
      </c>
      <c r="F545" s="5" t="s">
        <v>405</v>
      </c>
      <c r="G545" s="5" t="s">
        <v>1199</v>
      </c>
      <c r="H545" s="5" t="s">
        <v>405</v>
      </c>
      <c r="I545" s="45" t="s">
        <v>405</v>
      </c>
      <c r="J545" s="5" t="s">
        <v>258</v>
      </c>
      <c r="K545" s="5" t="s">
        <v>135</v>
      </c>
      <c r="L545" s="6" t="s">
        <v>541</v>
      </c>
      <c r="M545" s="6" t="s">
        <v>469</v>
      </c>
      <c r="N545" s="6" t="s">
        <v>1662</v>
      </c>
      <c r="P545" s="6">
        <v>1</v>
      </c>
      <c r="Q545" s="5"/>
      <c r="R545" s="5"/>
      <c r="S545" s="5"/>
    </row>
    <row r="546" spans="2:19" ht="16.5" customHeight="1" x14ac:dyDescent="0.2">
      <c r="B546" s="6">
        <v>99</v>
      </c>
      <c r="C546" s="6">
        <v>99</v>
      </c>
      <c r="D546" s="45" t="s">
        <v>1488</v>
      </c>
      <c r="E546" s="45" t="s">
        <v>1489</v>
      </c>
      <c r="F546" s="45" t="s">
        <v>407</v>
      </c>
      <c r="G546" s="45" t="s">
        <v>1802</v>
      </c>
      <c r="H546" s="45" t="s">
        <v>407</v>
      </c>
      <c r="I546" s="45" t="s">
        <v>407</v>
      </c>
      <c r="J546" s="5" t="s">
        <v>258</v>
      </c>
      <c r="K546" s="5" t="s">
        <v>373</v>
      </c>
      <c r="L546" s="6" t="s">
        <v>514</v>
      </c>
      <c r="M546" s="6" t="s">
        <v>469</v>
      </c>
      <c r="N546" s="6" t="s">
        <v>1662</v>
      </c>
      <c r="P546" s="6">
        <v>1</v>
      </c>
      <c r="Q546" s="5"/>
      <c r="R546" s="5"/>
      <c r="S546" s="5"/>
    </row>
    <row r="547" spans="2:19" ht="16.5" customHeight="1" x14ac:dyDescent="0.2">
      <c r="B547" s="6">
        <v>10</v>
      </c>
      <c r="C547" s="6">
        <v>10</v>
      </c>
      <c r="D547" s="45" t="s">
        <v>1462</v>
      </c>
      <c r="E547" s="45" t="s">
        <v>1463</v>
      </c>
      <c r="F547" s="45" t="s">
        <v>1641</v>
      </c>
      <c r="G547" s="45" t="s">
        <v>1804</v>
      </c>
      <c r="H547" s="45" t="s">
        <v>1641</v>
      </c>
      <c r="I547" s="45" t="s">
        <v>1641</v>
      </c>
      <c r="J547" s="5" t="s">
        <v>857</v>
      </c>
      <c r="K547" s="5" t="s">
        <v>184</v>
      </c>
      <c r="L547" s="6" t="s">
        <v>514</v>
      </c>
      <c r="M547" s="6" t="s">
        <v>469</v>
      </c>
      <c r="N547" s="6" t="s">
        <v>1662</v>
      </c>
      <c r="P547" s="6">
        <v>1</v>
      </c>
      <c r="Q547" s="5"/>
      <c r="R547" s="5"/>
      <c r="S547" s="5"/>
    </row>
    <row r="548" spans="2:19" ht="16.5" customHeight="1" x14ac:dyDescent="0.2">
      <c r="B548" s="6">
        <v>140</v>
      </c>
      <c r="C548" s="6">
        <v>140</v>
      </c>
      <c r="D548" s="45" t="s">
        <v>1335</v>
      </c>
      <c r="E548" s="45" t="s">
        <v>1457</v>
      </c>
      <c r="F548" s="45" t="s">
        <v>1329</v>
      </c>
      <c r="G548" s="37" t="s">
        <v>1330</v>
      </c>
      <c r="H548" s="45" t="s">
        <v>1329</v>
      </c>
      <c r="I548" s="45" t="s">
        <v>1329</v>
      </c>
      <c r="J548" s="5" t="s">
        <v>857</v>
      </c>
      <c r="K548" s="5" t="s">
        <v>41</v>
      </c>
      <c r="L548" s="6" t="s">
        <v>541</v>
      </c>
      <c r="M548" s="6" t="s">
        <v>582</v>
      </c>
      <c r="N548" s="6" t="s">
        <v>1662</v>
      </c>
      <c r="P548" s="6">
        <v>1</v>
      </c>
      <c r="Q548" s="5"/>
      <c r="R548" s="5"/>
      <c r="S548" s="5"/>
    </row>
    <row r="549" spans="2:19" ht="16.5" customHeight="1" x14ac:dyDescent="0.2">
      <c r="B549" s="6">
        <v>29</v>
      </c>
      <c r="C549" s="6">
        <v>29</v>
      </c>
      <c r="D549" s="45" t="s">
        <v>1357</v>
      </c>
      <c r="E549" s="45" t="s">
        <v>1358</v>
      </c>
      <c r="F549" s="45" t="s">
        <v>1609</v>
      </c>
      <c r="G549" s="5" t="s">
        <v>1803</v>
      </c>
      <c r="H549" s="45" t="s">
        <v>1609</v>
      </c>
      <c r="I549" s="45" t="s">
        <v>1609</v>
      </c>
      <c r="J549" s="5" t="s">
        <v>857</v>
      </c>
      <c r="K549" s="5" t="s">
        <v>28</v>
      </c>
      <c r="L549" s="6" t="s">
        <v>540</v>
      </c>
      <c r="M549" s="6" t="s">
        <v>582</v>
      </c>
      <c r="N549" s="6" t="s">
        <v>1662</v>
      </c>
      <c r="P549" s="6">
        <v>1</v>
      </c>
      <c r="Q549" s="5"/>
      <c r="R549" s="5"/>
      <c r="S549" s="5"/>
    </row>
    <row r="550" spans="2:19" ht="16.5" customHeight="1" x14ac:dyDescent="0.2">
      <c r="B550" s="6">
        <v>143</v>
      </c>
      <c r="C550" s="6">
        <v>143</v>
      </c>
      <c r="D550" s="45" t="s">
        <v>1336</v>
      </c>
      <c r="E550" s="45" t="s">
        <v>1459</v>
      </c>
      <c r="F550" s="33" t="s">
        <v>1332</v>
      </c>
      <c r="G550" s="37" t="s">
        <v>1331</v>
      </c>
      <c r="H550" s="5" t="s">
        <v>721</v>
      </c>
      <c r="I550" s="45" t="s">
        <v>1332</v>
      </c>
      <c r="J550" s="5" t="s">
        <v>857</v>
      </c>
      <c r="K550" s="5" t="s">
        <v>41</v>
      </c>
      <c r="L550" s="6" t="s">
        <v>541</v>
      </c>
      <c r="M550" s="6" t="s">
        <v>469</v>
      </c>
      <c r="N550" s="6" t="s">
        <v>1662</v>
      </c>
      <c r="P550" s="6">
        <v>1</v>
      </c>
      <c r="Q550" s="5"/>
      <c r="R550" s="5"/>
      <c r="S550" s="5"/>
    </row>
    <row r="551" spans="2:19" ht="16.5" customHeight="1" x14ac:dyDescent="0.2">
      <c r="B551" s="6">
        <v>144</v>
      </c>
      <c r="C551" s="6">
        <v>144</v>
      </c>
      <c r="D551" s="45" t="s">
        <v>1532</v>
      </c>
      <c r="E551" s="45" t="s">
        <v>1533</v>
      </c>
      <c r="F551" s="45" t="s">
        <v>1647</v>
      </c>
      <c r="G551" s="37" t="s">
        <v>1836</v>
      </c>
      <c r="H551" s="45" t="s">
        <v>1647</v>
      </c>
      <c r="I551" s="45" t="s">
        <v>1647</v>
      </c>
      <c r="J551" s="45" t="s">
        <v>349</v>
      </c>
      <c r="K551" s="5" t="s">
        <v>886</v>
      </c>
      <c r="L551" s="6" t="s">
        <v>514</v>
      </c>
      <c r="M551" s="6" t="s">
        <v>469</v>
      </c>
      <c r="N551" s="6" t="s">
        <v>1662</v>
      </c>
      <c r="P551" s="6">
        <v>1</v>
      </c>
      <c r="Q551" s="5"/>
      <c r="R551" s="5"/>
      <c r="S551" s="5"/>
    </row>
    <row r="552" spans="2:19" ht="16.5" customHeight="1" x14ac:dyDescent="0.2">
      <c r="B552" s="6">
        <v>139</v>
      </c>
      <c r="C552" s="6">
        <v>139</v>
      </c>
      <c r="D552" s="45" t="s">
        <v>1337</v>
      </c>
      <c r="E552" s="45" t="s">
        <v>1458</v>
      </c>
      <c r="F552" s="33" t="s">
        <v>1334</v>
      </c>
      <c r="G552" s="37" t="s">
        <v>1333</v>
      </c>
      <c r="H552" s="5" t="s">
        <v>700</v>
      </c>
      <c r="I552" s="45" t="s">
        <v>1334</v>
      </c>
      <c r="J552" s="5" t="s">
        <v>857</v>
      </c>
      <c r="K552" s="5" t="s">
        <v>41</v>
      </c>
      <c r="L552" s="6" t="s">
        <v>541</v>
      </c>
      <c r="M552" s="6" t="s">
        <v>582</v>
      </c>
      <c r="N552" s="6" t="s">
        <v>1662</v>
      </c>
      <c r="P552" s="6">
        <v>1</v>
      </c>
      <c r="Q552" s="5"/>
      <c r="R552" s="5"/>
      <c r="S552" s="5"/>
    </row>
    <row r="553" spans="2:19" ht="16.5" customHeight="1" x14ac:dyDescent="0.2">
      <c r="B553" s="6">
        <v>141</v>
      </c>
      <c r="C553" s="6">
        <v>141</v>
      </c>
      <c r="D553" s="45" t="s">
        <v>1460</v>
      </c>
      <c r="E553" s="45" t="s">
        <v>1461</v>
      </c>
      <c r="F553" s="45" t="s">
        <v>1640</v>
      </c>
      <c r="G553" s="5" t="s">
        <v>1858</v>
      </c>
      <c r="H553" s="45" t="s">
        <v>1640</v>
      </c>
      <c r="I553" s="45" t="s">
        <v>1640</v>
      </c>
      <c r="J553" s="5" t="s">
        <v>857</v>
      </c>
      <c r="K553" s="5" t="s">
        <v>28</v>
      </c>
      <c r="L553" s="6" t="s">
        <v>540</v>
      </c>
      <c r="M553" s="6" t="s">
        <v>469</v>
      </c>
      <c r="N553" s="6" t="s">
        <v>1662</v>
      </c>
      <c r="P553" s="6">
        <v>1</v>
      </c>
      <c r="Q553" s="5"/>
      <c r="R553" s="5"/>
      <c r="S553" s="5"/>
    </row>
    <row r="554" spans="2:19" ht="16.5" customHeight="1" x14ac:dyDescent="0.2">
      <c r="B554" s="6">
        <v>138</v>
      </c>
      <c r="C554" s="6">
        <v>138</v>
      </c>
      <c r="D554" s="33" t="s">
        <v>1443</v>
      </c>
      <c r="E554" s="33" t="s">
        <v>1444</v>
      </c>
      <c r="F554" s="45" t="s">
        <v>1639</v>
      </c>
      <c r="G554" s="37" t="s">
        <v>1838</v>
      </c>
      <c r="H554" s="33" t="s">
        <v>1639</v>
      </c>
      <c r="I554" s="33" t="s">
        <v>1639</v>
      </c>
      <c r="J554" s="45" t="s">
        <v>349</v>
      </c>
      <c r="K554" s="5" t="s">
        <v>886</v>
      </c>
      <c r="L554" s="6" t="s">
        <v>514</v>
      </c>
      <c r="M554" s="6" t="s">
        <v>469</v>
      </c>
      <c r="N554" s="6" t="s">
        <v>1662</v>
      </c>
      <c r="P554" s="6">
        <v>1</v>
      </c>
      <c r="Q554" s="5"/>
      <c r="R554" s="5"/>
      <c r="S554" s="5"/>
    </row>
    <row r="555" spans="2:19" ht="16.5" customHeight="1" x14ac:dyDescent="0.2">
      <c r="B555" s="6">
        <v>11</v>
      </c>
      <c r="C555" s="6">
        <v>11</v>
      </c>
      <c r="D555" s="45" t="s">
        <v>1534</v>
      </c>
      <c r="E555" s="45" t="s">
        <v>1535</v>
      </c>
      <c r="F555" s="45" t="s">
        <v>1648</v>
      </c>
      <c r="G555" s="45" t="s">
        <v>1840</v>
      </c>
      <c r="H555" s="45" t="s">
        <v>1648</v>
      </c>
      <c r="I555" s="45" t="s">
        <v>1648</v>
      </c>
      <c r="J555" s="5" t="s">
        <v>857</v>
      </c>
      <c r="K555" s="5" t="s">
        <v>184</v>
      </c>
      <c r="L555" s="6" t="s">
        <v>514</v>
      </c>
      <c r="M555" s="6" t="s">
        <v>469</v>
      </c>
      <c r="N555" s="6" t="s">
        <v>1662</v>
      </c>
      <c r="P555" s="6">
        <v>1</v>
      </c>
      <c r="Q555" s="5"/>
      <c r="R555" s="5"/>
      <c r="S555" s="5"/>
    </row>
    <row r="556" spans="2:19" ht="16.5" customHeight="1" x14ac:dyDescent="0.2">
      <c r="B556" s="6">
        <v>85</v>
      </c>
      <c r="C556" s="6">
        <v>85</v>
      </c>
      <c r="D556" s="33" t="s">
        <v>623</v>
      </c>
      <c r="E556" s="33" t="s">
        <v>1578</v>
      </c>
      <c r="F556" s="45" t="s">
        <v>1650</v>
      </c>
      <c r="G556" s="37" t="s">
        <v>1839</v>
      </c>
      <c r="H556" s="33" t="s">
        <v>1650</v>
      </c>
      <c r="I556" s="33" t="s">
        <v>1650</v>
      </c>
      <c r="J556" s="45" t="s">
        <v>349</v>
      </c>
      <c r="K556" s="5" t="s">
        <v>886</v>
      </c>
      <c r="L556" s="6" t="s">
        <v>514</v>
      </c>
      <c r="M556" s="6" t="s">
        <v>469</v>
      </c>
      <c r="N556" s="6" t="s">
        <v>1662</v>
      </c>
      <c r="P556" s="6">
        <v>1</v>
      </c>
      <c r="Q556" s="5"/>
      <c r="R556" s="5"/>
      <c r="S556" s="5"/>
    </row>
    <row r="557" spans="2:19" ht="16.5" customHeight="1" x14ac:dyDescent="0.2">
      <c r="B557" s="6">
        <v>76</v>
      </c>
      <c r="C557" s="6">
        <v>76</v>
      </c>
      <c r="D557" s="45" t="s">
        <v>637</v>
      </c>
      <c r="E557" s="45" t="s">
        <v>1582</v>
      </c>
      <c r="F557" s="5" t="s">
        <v>1652</v>
      </c>
      <c r="G557" s="45" t="s">
        <v>1809</v>
      </c>
      <c r="H557" s="45" t="s">
        <v>1652</v>
      </c>
      <c r="I557" s="45" t="s">
        <v>1652</v>
      </c>
      <c r="J557" s="5" t="s">
        <v>857</v>
      </c>
      <c r="K557" s="5" t="s">
        <v>886</v>
      </c>
      <c r="L557" s="6" t="s">
        <v>541</v>
      </c>
      <c r="M557" s="6" t="s">
        <v>582</v>
      </c>
      <c r="N557" s="6" t="s">
        <v>1662</v>
      </c>
      <c r="P557" s="6">
        <v>1</v>
      </c>
      <c r="Q557" s="5"/>
      <c r="R557" s="5"/>
      <c r="S557" s="5"/>
    </row>
    <row r="558" spans="2:19" ht="16.5" customHeight="1" x14ac:dyDescent="0.2">
      <c r="B558" s="6">
        <v>73</v>
      </c>
      <c r="C558" s="6">
        <v>73</v>
      </c>
      <c r="D558" s="45" t="s">
        <v>630</v>
      </c>
      <c r="E558" s="45" t="s">
        <v>1580</v>
      </c>
      <c r="F558" s="45" t="s">
        <v>1651</v>
      </c>
      <c r="G558" s="5" t="s">
        <v>1857</v>
      </c>
      <c r="H558" s="45" t="s">
        <v>1651</v>
      </c>
      <c r="I558" s="45" t="s">
        <v>1651</v>
      </c>
      <c r="J558" s="5" t="s">
        <v>349</v>
      </c>
      <c r="K558" s="5" t="s">
        <v>822</v>
      </c>
      <c r="L558" s="6" t="s">
        <v>541</v>
      </c>
      <c r="M558" s="6" t="s">
        <v>582</v>
      </c>
      <c r="N558" s="6" t="s">
        <v>1662</v>
      </c>
      <c r="P558" s="6">
        <v>1</v>
      </c>
      <c r="Q558" s="5"/>
      <c r="R558" s="5"/>
      <c r="S558" s="5"/>
    </row>
    <row r="559" spans="2:19" ht="16.5" customHeight="1" x14ac:dyDescent="0.2">
      <c r="B559" s="6">
        <v>74</v>
      </c>
      <c r="C559" s="6">
        <v>74</v>
      </c>
      <c r="D559" s="45" t="s">
        <v>628</v>
      </c>
      <c r="E559" s="45" t="s">
        <v>1579</v>
      </c>
      <c r="F559" s="5" t="s">
        <v>629</v>
      </c>
      <c r="G559" s="5" t="s">
        <v>636</v>
      </c>
      <c r="H559" s="5" t="s">
        <v>629</v>
      </c>
      <c r="I559" s="45" t="s">
        <v>629</v>
      </c>
      <c r="J559" s="5" t="s">
        <v>349</v>
      </c>
      <c r="K559" s="5" t="s">
        <v>225</v>
      </c>
      <c r="L559" s="6" t="s">
        <v>514</v>
      </c>
      <c r="M559" s="6" t="s">
        <v>582</v>
      </c>
      <c r="N559" s="6" t="s">
        <v>1662</v>
      </c>
      <c r="P559" s="6">
        <v>1</v>
      </c>
      <c r="Q559" s="5"/>
      <c r="R559" s="5"/>
      <c r="S559" s="5"/>
    </row>
    <row r="560" spans="2:19" ht="16.5" customHeight="1" x14ac:dyDescent="0.2">
      <c r="B560" s="6">
        <v>77</v>
      </c>
      <c r="C560" s="6">
        <v>77</v>
      </c>
      <c r="D560" s="45" t="s">
        <v>638</v>
      </c>
      <c r="E560" s="45" t="s">
        <v>1583</v>
      </c>
      <c r="F560" s="5" t="s">
        <v>642</v>
      </c>
      <c r="G560" s="5" t="s">
        <v>1872</v>
      </c>
      <c r="H560" s="5" t="s">
        <v>642</v>
      </c>
      <c r="I560" s="45" t="s">
        <v>642</v>
      </c>
      <c r="J560" s="5" t="s">
        <v>349</v>
      </c>
      <c r="K560" s="5" t="s">
        <v>822</v>
      </c>
      <c r="L560" s="6" t="s">
        <v>541</v>
      </c>
      <c r="M560" s="6" t="s">
        <v>582</v>
      </c>
      <c r="N560" s="6" t="s">
        <v>1662</v>
      </c>
      <c r="P560" s="6">
        <v>1</v>
      </c>
      <c r="Q560" s="5"/>
      <c r="R560" s="5"/>
      <c r="S560" s="5"/>
    </row>
    <row r="561" spans="2:19" ht="16.5" customHeight="1" x14ac:dyDescent="0.2">
      <c r="B561" s="6">
        <v>38</v>
      </c>
      <c r="C561" s="6">
        <v>38</v>
      </c>
      <c r="D561" s="45" t="s">
        <v>1407</v>
      </c>
      <c r="E561" s="45" t="s">
        <v>1408</v>
      </c>
      <c r="F561" s="5" t="s">
        <v>659</v>
      </c>
      <c r="G561" s="5" t="s">
        <v>938</v>
      </c>
      <c r="H561" s="5" t="s">
        <v>659</v>
      </c>
      <c r="I561" s="45" t="s">
        <v>659</v>
      </c>
      <c r="J561" s="5" t="s">
        <v>349</v>
      </c>
      <c r="K561" s="5" t="s">
        <v>327</v>
      </c>
      <c r="L561" s="6" t="s">
        <v>514</v>
      </c>
      <c r="M561" s="6" t="s">
        <v>469</v>
      </c>
      <c r="N561" s="6" t="s">
        <v>1662</v>
      </c>
      <c r="P561" s="6">
        <v>1</v>
      </c>
      <c r="Q561" s="5"/>
      <c r="R561" s="5"/>
      <c r="S561" s="5"/>
    </row>
    <row r="562" spans="2:19" ht="16.5" customHeight="1" x14ac:dyDescent="0.2">
      <c r="B562" s="6">
        <v>80</v>
      </c>
      <c r="C562" s="6">
        <v>80</v>
      </c>
      <c r="D562" s="45" t="s">
        <v>641</v>
      </c>
      <c r="E562" s="45" t="s">
        <v>1586</v>
      </c>
      <c r="F562" s="5" t="s">
        <v>647</v>
      </c>
      <c r="G562" s="5" t="s">
        <v>710</v>
      </c>
      <c r="H562" s="5" t="s">
        <v>647</v>
      </c>
      <c r="I562" s="45" t="s">
        <v>647</v>
      </c>
      <c r="J562" s="5" t="s">
        <v>349</v>
      </c>
      <c r="K562" s="5" t="s">
        <v>44</v>
      </c>
      <c r="L562" s="6" t="s">
        <v>540</v>
      </c>
      <c r="M562" s="6" t="s">
        <v>582</v>
      </c>
      <c r="N562" s="6" t="s">
        <v>1662</v>
      </c>
      <c r="P562" s="6">
        <v>1</v>
      </c>
      <c r="Q562" s="5"/>
      <c r="R562" s="5"/>
      <c r="S562" s="5"/>
    </row>
    <row r="563" spans="2:19" ht="16.5" customHeight="1" x14ac:dyDescent="0.2">
      <c r="B563" s="6">
        <v>82</v>
      </c>
      <c r="C563" s="6">
        <v>82</v>
      </c>
      <c r="D563" s="45" t="s">
        <v>648</v>
      </c>
      <c r="E563" s="45" t="s">
        <v>1588</v>
      </c>
      <c r="F563" s="5" t="s">
        <v>651</v>
      </c>
      <c r="G563" s="5" t="s">
        <v>712</v>
      </c>
      <c r="H563" s="5" t="s">
        <v>651</v>
      </c>
      <c r="I563" s="45" t="s">
        <v>651</v>
      </c>
      <c r="J563" s="5" t="s">
        <v>349</v>
      </c>
      <c r="K563" s="5" t="s">
        <v>373</v>
      </c>
      <c r="L563" s="6" t="s">
        <v>514</v>
      </c>
      <c r="M563" s="6" t="s">
        <v>582</v>
      </c>
      <c r="N563" s="6" t="s">
        <v>1662</v>
      </c>
      <c r="P563" s="6">
        <v>1</v>
      </c>
      <c r="Q563" s="5"/>
      <c r="R563" s="5"/>
      <c r="S563" s="5"/>
    </row>
    <row r="564" spans="2:19" ht="16.5" customHeight="1" x14ac:dyDescent="0.2">
      <c r="B564" s="6">
        <v>79</v>
      </c>
      <c r="C564" s="6">
        <v>79</v>
      </c>
      <c r="D564" s="45" t="s">
        <v>640</v>
      </c>
      <c r="E564" s="45" t="s">
        <v>1585</v>
      </c>
      <c r="F564" s="5" t="s">
        <v>645</v>
      </c>
      <c r="G564" s="5" t="s">
        <v>644</v>
      </c>
      <c r="H564" s="5" t="s">
        <v>645</v>
      </c>
      <c r="I564" s="45" t="s">
        <v>645</v>
      </c>
      <c r="J564" s="5" t="s">
        <v>349</v>
      </c>
      <c r="K564" s="5" t="s">
        <v>646</v>
      </c>
      <c r="L564" s="6" t="s">
        <v>514</v>
      </c>
      <c r="M564" s="6" t="s">
        <v>582</v>
      </c>
      <c r="N564" s="6" t="s">
        <v>1662</v>
      </c>
      <c r="P564" s="6">
        <v>1</v>
      </c>
      <c r="Q564" s="5"/>
      <c r="R564" s="5"/>
      <c r="S564" s="5"/>
    </row>
    <row r="565" spans="2:19" ht="16.5" customHeight="1" x14ac:dyDescent="0.2">
      <c r="B565" s="6">
        <v>78</v>
      </c>
      <c r="C565" s="6">
        <v>78</v>
      </c>
      <c r="D565" s="45" t="s">
        <v>639</v>
      </c>
      <c r="E565" s="45" t="s">
        <v>1584</v>
      </c>
      <c r="F565" s="5" t="s">
        <v>643</v>
      </c>
      <c r="G565" s="5" t="s">
        <v>1873</v>
      </c>
      <c r="H565" s="5" t="s">
        <v>643</v>
      </c>
      <c r="I565" s="45" t="s">
        <v>643</v>
      </c>
      <c r="J565" s="5" t="s">
        <v>349</v>
      </c>
      <c r="K565" s="5" t="s">
        <v>822</v>
      </c>
      <c r="L565" s="6" t="s">
        <v>541</v>
      </c>
      <c r="M565" s="6" t="s">
        <v>582</v>
      </c>
      <c r="N565" s="6" t="s">
        <v>1662</v>
      </c>
      <c r="P565" s="6">
        <v>1</v>
      </c>
      <c r="Q565" s="5"/>
      <c r="R565" s="5"/>
      <c r="S565" s="5"/>
    </row>
    <row r="566" spans="2:19" ht="16.5" customHeight="1" x14ac:dyDescent="0.2">
      <c r="B566" s="6">
        <v>8</v>
      </c>
      <c r="C566" s="6">
        <v>8</v>
      </c>
      <c r="D566" s="45" t="s">
        <v>689</v>
      </c>
      <c r="E566" s="45" t="s">
        <v>1592</v>
      </c>
      <c r="F566" s="5" t="s">
        <v>696</v>
      </c>
      <c r="G566" s="5" t="s">
        <v>697</v>
      </c>
      <c r="H566" s="5" t="s">
        <v>696</v>
      </c>
      <c r="I566" s="45" t="s">
        <v>696</v>
      </c>
      <c r="J566" s="5" t="s">
        <v>349</v>
      </c>
      <c r="K566" s="5" t="s">
        <v>180</v>
      </c>
      <c r="L566" s="6" t="s">
        <v>514</v>
      </c>
      <c r="M566" s="6" t="s">
        <v>469</v>
      </c>
      <c r="N566" s="6" t="s">
        <v>1662</v>
      </c>
      <c r="P566" s="6">
        <v>1</v>
      </c>
      <c r="Q566" s="5"/>
      <c r="R566" s="5"/>
      <c r="S566" s="5"/>
    </row>
    <row r="567" spans="2:19" ht="16.5" customHeight="1" x14ac:dyDescent="0.2">
      <c r="B567" s="6">
        <v>131</v>
      </c>
      <c r="C567" s="6">
        <v>131</v>
      </c>
      <c r="D567" s="45" t="s">
        <v>735</v>
      </c>
      <c r="E567" s="45" t="s">
        <v>1599</v>
      </c>
      <c r="F567" s="5" t="s">
        <v>745</v>
      </c>
      <c r="G567" s="5" t="s">
        <v>749</v>
      </c>
      <c r="H567" s="5" t="s">
        <v>745</v>
      </c>
      <c r="I567" s="45" t="s">
        <v>745</v>
      </c>
      <c r="J567" s="5" t="s">
        <v>857</v>
      </c>
      <c r="K567" s="5" t="s">
        <v>184</v>
      </c>
      <c r="L567" s="6" t="s">
        <v>514</v>
      </c>
      <c r="M567" s="6" t="s">
        <v>582</v>
      </c>
      <c r="N567" s="6" t="s">
        <v>1662</v>
      </c>
      <c r="P567" s="6">
        <v>1</v>
      </c>
      <c r="Q567" s="5"/>
      <c r="R567" s="5"/>
      <c r="S567" s="5"/>
    </row>
    <row r="568" spans="2:19" ht="16.5" customHeight="1" x14ac:dyDescent="0.2">
      <c r="B568" s="6">
        <v>129</v>
      </c>
      <c r="C568" s="6">
        <v>129</v>
      </c>
      <c r="D568" s="45" t="s">
        <v>743</v>
      </c>
      <c r="E568" s="45" t="s">
        <v>1598</v>
      </c>
      <c r="F568" s="5" t="s">
        <v>744</v>
      </c>
      <c r="G568" s="5" t="s">
        <v>733</v>
      </c>
      <c r="H568" s="5" t="s">
        <v>744</v>
      </c>
      <c r="I568" s="45" t="s">
        <v>744</v>
      </c>
      <c r="J568" s="5" t="s">
        <v>857</v>
      </c>
      <c r="K568" s="5" t="s">
        <v>28</v>
      </c>
      <c r="L568" s="6" t="s">
        <v>540</v>
      </c>
      <c r="M568" s="6" t="s">
        <v>582</v>
      </c>
      <c r="N568" s="6" t="s">
        <v>1662</v>
      </c>
      <c r="P568" s="6">
        <v>1</v>
      </c>
      <c r="Q568" s="5"/>
      <c r="R568" s="5"/>
      <c r="S568" s="5"/>
    </row>
    <row r="569" spans="2:19" ht="16.5" customHeight="1" x14ac:dyDescent="0.2">
      <c r="B569" s="6">
        <v>130</v>
      </c>
      <c r="C569" s="6">
        <v>130</v>
      </c>
      <c r="D569" s="45" t="s">
        <v>734</v>
      </c>
      <c r="E569" s="45" t="s">
        <v>1597</v>
      </c>
      <c r="F569" s="5" t="s">
        <v>742</v>
      </c>
      <c r="G569" s="5" t="s">
        <v>747</v>
      </c>
      <c r="H569" s="5" t="s">
        <v>742</v>
      </c>
      <c r="I569" s="45" t="s">
        <v>742</v>
      </c>
      <c r="J569" s="5" t="s">
        <v>857</v>
      </c>
      <c r="K569" s="5" t="s">
        <v>225</v>
      </c>
      <c r="L569" s="6" t="s">
        <v>514</v>
      </c>
      <c r="M569" s="6" t="s">
        <v>582</v>
      </c>
      <c r="N569" s="6" t="s">
        <v>1662</v>
      </c>
      <c r="P569" s="6">
        <v>1</v>
      </c>
      <c r="Q569" s="5"/>
      <c r="R569" s="5"/>
      <c r="S569" s="5"/>
    </row>
    <row r="570" spans="2:19" ht="16.5" customHeight="1" x14ac:dyDescent="0.2">
      <c r="B570" s="6">
        <v>134</v>
      </c>
      <c r="C570" s="6">
        <v>134</v>
      </c>
      <c r="D570" s="45" t="s">
        <v>738</v>
      </c>
      <c r="E570" s="45" t="s">
        <v>1602</v>
      </c>
      <c r="F570" s="5" t="s">
        <v>808</v>
      </c>
      <c r="G570" s="5" t="s">
        <v>1200</v>
      </c>
      <c r="H570" s="5" t="s">
        <v>808</v>
      </c>
      <c r="I570" s="45" t="s">
        <v>808</v>
      </c>
      <c r="J570" s="5" t="s">
        <v>857</v>
      </c>
      <c r="K570" s="5" t="s">
        <v>1095</v>
      </c>
      <c r="L570" s="6" t="s">
        <v>514</v>
      </c>
      <c r="M570" s="6" t="s">
        <v>582</v>
      </c>
      <c r="N570" s="6" t="s">
        <v>1662</v>
      </c>
      <c r="P570" s="6">
        <v>1</v>
      </c>
      <c r="Q570" s="5"/>
      <c r="R570" s="5"/>
      <c r="S570" s="5"/>
    </row>
    <row r="571" spans="2:19" ht="16.5" customHeight="1" x14ac:dyDescent="0.2">
      <c r="B571" s="6">
        <v>81</v>
      </c>
      <c r="C571" s="6">
        <v>81</v>
      </c>
      <c r="D571" s="45" t="s">
        <v>649</v>
      </c>
      <c r="E571" s="45" t="s">
        <v>1587</v>
      </c>
      <c r="F571" s="5" t="s">
        <v>652</v>
      </c>
      <c r="G571" s="5" t="s">
        <v>711</v>
      </c>
      <c r="H571" s="5" t="s">
        <v>652</v>
      </c>
      <c r="I571" s="45" t="s">
        <v>652</v>
      </c>
      <c r="J571" s="5" t="s">
        <v>349</v>
      </c>
      <c r="K571" s="5" t="s">
        <v>373</v>
      </c>
      <c r="L571" s="6" t="s">
        <v>514</v>
      </c>
      <c r="M571" s="6" t="s">
        <v>582</v>
      </c>
      <c r="N571" s="6" t="s">
        <v>1662</v>
      </c>
      <c r="P571" s="6">
        <v>1</v>
      </c>
      <c r="Q571" s="5"/>
      <c r="R571" s="5"/>
      <c r="S571" s="5"/>
    </row>
    <row r="572" spans="2:19" ht="16.5" customHeight="1" x14ac:dyDescent="0.2">
      <c r="B572" s="6">
        <v>132</v>
      </c>
      <c r="C572" s="6">
        <v>132</v>
      </c>
      <c r="D572" s="45" t="s">
        <v>736</v>
      </c>
      <c r="E572" s="45" t="s">
        <v>1600</v>
      </c>
      <c r="F572" s="5" t="s">
        <v>746</v>
      </c>
      <c r="G572" s="5" t="s">
        <v>748</v>
      </c>
      <c r="H572" s="5" t="s">
        <v>746</v>
      </c>
      <c r="I572" s="45" t="s">
        <v>746</v>
      </c>
      <c r="J572" s="5" t="s">
        <v>857</v>
      </c>
      <c r="K572" s="5" t="s">
        <v>184</v>
      </c>
      <c r="L572" s="6" t="s">
        <v>514</v>
      </c>
      <c r="M572" s="6" t="s">
        <v>582</v>
      </c>
      <c r="N572" s="6" t="s">
        <v>1662</v>
      </c>
      <c r="P572" s="6">
        <v>1</v>
      </c>
      <c r="Q572" s="5"/>
      <c r="R572" s="5"/>
      <c r="S572" s="5"/>
    </row>
    <row r="573" spans="2:19" ht="16.5" customHeight="1" x14ac:dyDescent="0.2">
      <c r="B573" s="6">
        <v>86</v>
      </c>
      <c r="C573" s="6">
        <v>86</v>
      </c>
      <c r="D573" s="45" t="s">
        <v>691</v>
      </c>
      <c r="E573" s="45" t="s">
        <v>1590</v>
      </c>
      <c r="F573" s="5" t="s">
        <v>695</v>
      </c>
      <c r="G573" s="5" t="s">
        <v>1874</v>
      </c>
      <c r="H573" s="5" t="s">
        <v>695</v>
      </c>
      <c r="I573" s="45" t="s">
        <v>695</v>
      </c>
      <c r="J573" s="5" t="s">
        <v>349</v>
      </c>
      <c r="K573" s="5" t="s">
        <v>822</v>
      </c>
      <c r="L573" s="6" t="s">
        <v>541</v>
      </c>
      <c r="M573" s="6" t="s">
        <v>469</v>
      </c>
      <c r="N573" s="6" t="s">
        <v>1662</v>
      </c>
      <c r="P573" s="6">
        <v>1</v>
      </c>
      <c r="Q573" s="5"/>
      <c r="R573" s="5"/>
      <c r="S573" s="5"/>
    </row>
    <row r="574" spans="2:19" ht="16.5" customHeight="1" x14ac:dyDescent="0.2">
      <c r="B574" s="6">
        <v>515</v>
      </c>
      <c r="C574" s="6">
        <v>315</v>
      </c>
      <c r="D574" s="33" t="s">
        <v>2598</v>
      </c>
      <c r="E574" s="6"/>
      <c r="F574" s="45" t="s">
        <v>2631</v>
      </c>
      <c r="G574" s="9" t="s">
        <v>33</v>
      </c>
      <c r="H574" s="45" t="s">
        <v>2631</v>
      </c>
      <c r="I574" s="45" t="s">
        <v>2631</v>
      </c>
      <c r="J574" s="6" t="s">
        <v>857</v>
      </c>
      <c r="K574" s="6" t="s">
        <v>2647</v>
      </c>
      <c r="L574" s="6" t="s">
        <v>514</v>
      </c>
      <c r="M574" s="6" t="s">
        <v>469</v>
      </c>
      <c r="N574" s="49" t="s">
        <v>1663</v>
      </c>
      <c r="O574" s="43"/>
      <c r="P574" s="6"/>
      <c r="Q574" s="5"/>
      <c r="R574" s="5"/>
      <c r="S574" s="5"/>
    </row>
    <row r="575" spans="2:19" ht="16.5" customHeight="1" x14ac:dyDescent="0.2">
      <c r="B575" s="6">
        <v>135</v>
      </c>
      <c r="C575" s="6">
        <v>135</v>
      </c>
      <c r="D575" s="45" t="s">
        <v>739</v>
      </c>
      <c r="E575" s="45" t="s">
        <v>1603</v>
      </c>
      <c r="F575" s="5" t="s">
        <v>810</v>
      </c>
      <c r="G575" s="5" t="s">
        <v>939</v>
      </c>
      <c r="H575" s="5" t="s">
        <v>810</v>
      </c>
      <c r="I575" s="45" t="s">
        <v>810</v>
      </c>
      <c r="J575" s="5" t="s">
        <v>857</v>
      </c>
      <c r="K575" s="5" t="s">
        <v>1095</v>
      </c>
      <c r="L575" s="6" t="s">
        <v>514</v>
      </c>
      <c r="M575" s="6" t="s">
        <v>582</v>
      </c>
      <c r="N575" s="6" t="s">
        <v>1662</v>
      </c>
      <c r="P575" s="6">
        <v>1</v>
      </c>
      <c r="Q575" s="5"/>
      <c r="R575" s="5"/>
      <c r="S575" s="5"/>
    </row>
    <row r="576" spans="2:19" ht="16.5" customHeight="1" x14ac:dyDescent="0.2">
      <c r="B576" s="6">
        <v>87</v>
      </c>
      <c r="C576" s="6">
        <v>87</v>
      </c>
      <c r="D576" s="45" t="s">
        <v>692</v>
      </c>
      <c r="E576" s="45" t="s">
        <v>1591</v>
      </c>
      <c r="F576" s="5" t="s">
        <v>721</v>
      </c>
      <c r="G576" s="5" t="s">
        <v>1340</v>
      </c>
      <c r="H576" s="5" t="s">
        <v>721</v>
      </c>
      <c r="I576" s="45" t="s">
        <v>721</v>
      </c>
      <c r="J576" s="5" t="s">
        <v>857</v>
      </c>
      <c r="K576" s="5" t="s">
        <v>886</v>
      </c>
      <c r="L576" s="6" t="s">
        <v>541</v>
      </c>
      <c r="M576" s="6" t="s">
        <v>582</v>
      </c>
      <c r="N576" s="6" t="s">
        <v>1662</v>
      </c>
      <c r="P576" s="6">
        <v>1</v>
      </c>
      <c r="Q576" s="5"/>
      <c r="R576" s="5"/>
      <c r="S576" s="5"/>
    </row>
    <row r="577" spans="2:19" ht="16.5" customHeight="1" x14ac:dyDescent="0.2">
      <c r="B577" s="6">
        <v>90</v>
      </c>
      <c r="C577" s="6">
        <v>90</v>
      </c>
      <c r="D577" s="45" t="s">
        <v>686</v>
      </c>
      <c r="E577" s="45" t="s">
        <v>1595</v>
      </c>
      <c r="F577" s="5" t="s">
        <v>701</v>
      </c>
      <c r="G577" s="5" t="s">
        <v>1201</v>
      </c>
      <c r="H577" s="5" t="s">
        <v>701</v>
      </c>
      <c r="I577" s="45" t="s">
        <v>701</v>
      </c>
      <c r="J577" s="5" t="s">
        <v>857</v>
      </c>
      <c r="K577" s="5" t="s">
        <v>886</v>
      </c>
      <c r="L577" s="6" t="s">
        <v>541</v>
      </c>
      <c r="M577" s="6" t="s">
        <v>469</v>
      </c>
      <c r="N577" s="6" t="s">
        <v>1662</v>
      </c>
      <c r="P577" s="6">
        <v>1</v>
      </c>
      <c r="Q577" s="5"/>
      <c r="R577" s="5"/>
      <c r="S577" s="5"/>
    </row>
    <row r="578" spans="2:19" ht="16.5" customHeight="1" x14ac:dyDescent="0.2">
      <c r="B578" s="6">
        <v>89</v>
      </c>
      <c r="C578" s="6">
        <v>89</v>
      </c>
      <c r="D578" s="45" t="s">
        <v>685</v>
      </c>
      <c r="E578" s="45" t="s">
        <v>1594</v>
      </c>
      <c r="F578" s="5" t="s">
        <v>700</v>
      </c>
      <c r="G578" s="5" t="s">
        <v>1202</v>
      </c>
      <c r="H578" s="5" t="s">
        <v>700</v>
      </c>
      <c r="I578" s="45" t="s">
        <v>700</v>
      </c>
      <c r="J578" s="5" t="s">
        <v>857</v>
      </c>
      <c r="K578" s="5" t="s">
        <v>309</v>
      </c>
      <c r="L578" s="6" t="s">
        <v>541</v>
      </c>
      <c r="M578" s="49" t="s">
        <v>469</v>
      </c>
      <c r="N578" s="6" t="s">
        <v>1662</v>
      </c>
      <c r="P578" s="6">
        <v>1</v>
      </c>
      <c r="Q578" s="5"/>
      <c r="R578" s="5"/>
      <c r="S578" s="5"/>
    </row>
    <row r="579" spans="2:19" ht="16.5" customHeight="1" x14ac:dyDescent="0.2">
      <c r="B579" s="6">
        <v>88</v>
      </c>
      <c r="C579" s="6">
        <v>88</v>
      </c>
      <c r="D579" s="45" t="s">
        <v>684</v>
      </c>
      <c r="E579" s="45" t="s">
        <v>1593</v>
      </c>
      <c r="F579" s="5" t="s">
        <v>702</v>
      </c>
      <c r="G579" s="5" t="s">
        <v>1875</v>
      </c>
      <c r="H579" s="5" t="s">
        <v>702</v>
      </c>
      <c r="I579" s="45" t="s">
        <v>702</v>
      </c>
      <c r="J579" s="5" t="s">
        <v>857</v>
      </c>
      <c r="K579" s="5" t="s">
        <v>822</v>
      </c>
      <c r="L579" s="6" t="s">
        <v>541</v>
      </c>
      <c r="M579" s="6" t="s">
        <v>469</v>
      </c>
      <c r="N579" s="6" t="s">
        <v>1662</v>
      </c>
      <c r="P579" s="6">
        <v>1</v>
      </c>
      <c r="Q579" s="5"/>
      <c r="R579" s="5"/>
      <c r="S579" s="5"/>
    </row>
    <row r="580" spans="2:19" ht="16.5" customHeight="1" x14ac:dyDescent="0.2">
      <c r="B580" s="6">
        <v>91</v>
      </c>
      <c r="C580" s="6">
        <v>91</v>
      </c>
      <c r="D580" s="45" t="s">
        <v>650</v>
      </c>
      <c r="E580" s="45" t="s">
        <v>1589</v>
      </c>
      <c r="F580" s="5" t="s">
        <v>719</v>
      </c>
      <c r="G580" s="5" t="s">
        <v>1876</v>
      </c>
      <c r="H580" s="5" t="s">
        <v>719</v>
      </c>
      <c r="I580" s="45" t="s">
        <v>719</v>
      </c>
      <c r="J580" s="5" t="s">
        <v>857</v>
      </c>
      <c r="K580" s="5" t="s">
        <v>822</v>
      </c>
      <c r="L580" s="6" t="s">
        <v>541</v>
      </c>
      <c r="M580" s="6" t="s">
        <v>469</v>
      </c>
      <c r="N580" s="6" t="s">
        <v>1662</v>
      </c>
      <c r="P580" s="6">
        <v>1</v>
      </c>
      <c r="Q580" s="5"/>
      <c r="R580" s="5"/>
      <c r="S580" s="5"/>
    </row>
    <row r="581" spans="2:19" ht="16.5" customHeight="1" x14ac:dyDescent="0.2">
      <c r="B581" s="6">
        <v>128</v>
      </c>
      <c r="C581" s="6">
        <v>128</v>
      </c>
      <c r="D581" s="45" t="s">
        <v>756</v>
      </c>
      <c r="E581" s="45" t="s">
        <v>783</v>
      </c>
      <c r="F581" s="5" t="s">
        <v>946</v>
      </c>
      <c r="G581" s="5" t="s">
        <v>1203</v>
      </c>
      <c r="H581" s="5" t="s">
        <v>946</v>
      </c>
      <c r="I581" s="45" t="s">
        <v>946</v>
      </c>
      <c r="J581" s="5" t="s">
        <v>857</v>
      </c>
      <c r="K581" s="5" t="s">
        <v>886</v>
      </c>
      <c r="L581" s="6" t="s">
        <v>541</v>
      </c>
      <c r="M581" s="6" t="s">
        <v>469</v>
      </c>
      <c r="N581" s="6" t="s">
        <v>1662</v>
      </c>
      <c r="P581" s="6"/>
      <c r="Q581" s="5"/>
      <c r="R581" s="5"/>
      <c r="S581" s="5"/>
    </row>
    <row r="582" spans="2:19" ht="16.5" customHeight="1" x14ac:dyDescent="0.2">
      <c r="B582" s="6">
        <v>310</v>
      </c>
      <c r="C582" s="6">
        <v>110</v>
      </c>
      <c r="D582" s="33" t="s">
        <v>1734</v>
      </c>
      <c r="E582" s="6" t="s">
        <v>915</v>
      </c>
      <c r="F582" s="33" t="s">
        <v>1744</v>
      </c>
      <c r="G582" s="5" t="s">
        <v>1855</v>
      </c>
      <c r="H582" s="33" t="s">
        <v>1744</v>
      </c>
      <c r="I582" s="33" t="s">
        <v>1744</v>
      </c>
      <c r="J582" s="5" t="s">
        <v>857</v>
      </c>
      <c r="K582" s="6" t="s">
        <v>1745</v>
      </c>
      <c r="L582" s="6" t="s">
        <v>514</v>
      </c>
      <c r="M582" s="49" t="s">
        <v>469</v>
      </c>
      <c r="N582" s="6" t="s">
        <v>1663</v>
      </c>
      <c r="P582" s="6"/>
      <c r="Q582" s="5"/>
      <c r="R582" s="5"/>
      <c r="S582" s="5"/>
    </row>
    <row r="583" spans="2:19" ht="16.5" customHeight="1" x14ac:dyDescent="0.2">
      <c r="B583" s="6">
        <v>125</v>
      </c>
      <c r="C583" s="6">
        <v>125</v>
      </c>
      <c r="D583" s="45" t="s">
        <v>755</v>
      </c>
      <c r="E583" s="45" t="s">
        <v>782</v>
      </c>
      <c r="F583" s="5" t="s">
        <v>945</v>
      </c>
      <c r="G583" s="5" t="s">
        <v>1841</v>
      </c>
      <c r="H583" s="5" t="s">
        <v>945</v>
      </c>
      <c r="I583" s="45" t="s">
        <v>945</v>
      </c>
      <c r="J583" s="5" t="s">
        <v>857</v>
      </c>
      <c r="K583" s="5" t="s">
        <v>822</v>
      </c>
      <c r="L583" s="6" t="s">
        <v>541</v>
      </c>
      <c r="M583" s="6" t="s">
        <v>469</v>
      </c>
      <c r="N583" s="6" t="s">
        <v>1662</v>
      </c>
      <c r="P583" s="6"/>
      <c r="Q583" s="5"/>
      <c r="R583" s="5"/>
      <c r="S583" s="5"/>
    </row>
    <row r="584" spans="2:19" ht="16.5" customHeight="1" x14ac:dyDescent="0.2">
      <c r="B584" s="6">
        <v>734</v>
      </c>
      <c r="C584" s="6">
        <v>34</v>
      </c>
      <c r="D584" s="33" t="s">
        <v>668</v>
      </c>
      <c r="E584" s="33" t="s">
        <v>2154</v>
      </c>
      <c r="F584" s="5" t="s">
        <v>722</v>
      </c>
      <c r="G584" s="5" t="s">
        <v>1877</v>
      </c>
      <c r="H584" s="5" t="s">
        <v>722</v>
      </c>
      <c r="I584" s="5" t="s">
        <v>722</v>
      </c>
      <c r="J584" s="5" t="s">
        <v>857</v>
      </c>
      <c r="K584" s="5" t="s">
        <v>822</v>
      </c>
      <c r="L584" s="6" t="s">
        <v>541</v>
      </c>
      <c r="M584" s="6" t="s">
        <v>469</v>
      </c>
      <c r="N584" s="6" t="s">
        <v>1666</v>
      </c>
      <c r="P584" s="6">
        <v>1</v>
      </c>
      <c r="Q584" s="5"/>
      <c r="R584" s="5"/>
      <c r="S584" s="5"/>
    </row>
    <row r="585" spans="2:19" ht="16.5" customHeight="1" x14ac:dyDescent="0.2">
      <c r="B585" s="6">
        <v>92</v>
      </c>
      <c r="C585" s="6">
        <v>92</v>
      </c>
      <c r="D585" s="45" t="s">
        <v>688</v>
      </c>
      <c r="E585" s="45" t="s">
        <v>1596</v>
      </c>
      <c r="F585" s="5" t="s">
        <v>720</v>
      </c>
      <c r="G585" s="5" t="s">
        <v>1204</v>
      </c>
      <c r="H585" s="5" t="s">
        <v>720</v>
      </c>
      <c r="I585" s="45" t="s">
        <v>720</v>
      </c>
      <c r="J585" s="5" t="s">
        <v>857</v>
      </c>
      <c r="K585" s="5" t="s">
        <v>886</v>
      </c>
      <c r="L585" s="6" t="s">
        <v>541</v>
      </c>
      <c r="M585" s="6" t="s">
        <v>469</v>
      </c>
      <c r="N585" s="6" t="s">
        <v>1662</v>
      </c>
      <c r="P585" s="6">
        <v>1</v>
      </c>
      <c r="Q585" s="5"/>
      <c r="R585" s="5"/>
      <c r="S585" s="5"/>
    </row>
    <row r="586" spans="2:19" ht="16.5" customHeight="1" x14ac:dyDescent="0.2">
      <c r="B586" s="6">
        <v>272</v>
      </c>
      <c r="C586" s="6">
        <v>72</v>
      </c>
      <c r="D586" s="54" t="s">
        <v>2424</v>
      </c>
      <c r="E586" s="6" t="s">
        <v>915</v>
      </c>
      <c r="F586" s="33" t="s">
        <v>2358</v>
      </c>
      <c r="G586" s="9" t="s">
        <v>2100</v>
      </c>
      <c r="H586" s="33" t="s">
        <v>2392</v>
      </c>
      <c r="J586" s="6" t="s">
        <v>2102</v>
      </c>
      <c r="K586" s="6" t="s">
        <v>1087</v>
      </c>
      <c r="L586" s="6" t="s">
        <v>1087</v>
      </c>
      <c r="M586" s="6" t="s">
        <v>2099</v>
      </c>
      <c r="N586" s="49" t="s">
        <v>1663</v>
      </c>
      <c r="O586" s="49"/>
      <c r="P586" s="6"/>
      <c r="Q586" s="5"/>
      <c r="R586" s="5"/>
      <c r="S586" s="5"/>
    </row>
    <row r="587" spans="2:19" ht="16.5" customHeight="1" x14ac:dyDescent="0.2">
      <c r="B587" s="6">
        <v>273</v>
      </c>
      <c r="C587" s="6">
        <v>73</v>
      </c>
      <c r="D587" s="55" t="s">
        <v>1069</v>
      </c>
      <c r="E587" s="6" t="s">
        <v>915</v>
      </c>
      <c r="F587" s="33" t="s">
        <v>2359</v>
      </c>
      <c r="G587" s="9" t="s">
        <v>2100</v>
      </c>
      <c r="H587" s="33" t="s">
        <v>2393</v>
      </c>
      <c r="J587" s="6" t="s">
        <v>2102</v>
      </c>
      <c r="K587" s="6" t="s">
        <v>1087</v>
      </c>
      <c r="L587" s="6" t="s">
        <v>1087</v>
      </c>
      <c r="M587" s="6" t="s">
        <v>2099</v>
      </c>
      <c r="N587" s="49" t="s">
        <v>1663</v>
      </c>
      <c r="O587" s="49"/>
      <c r="P587" s="6"/>
      <c r="Q587" s="5"/>
      <c r="R587" s="5"/>
      <c r="S587" s="5"/>
    </row>
    <row r="588" spans="2:19" ht="16.5" customHeight="1" x14ac:dyDescent="0.2">
      <c r="B588" s="6">
        <v>275</v>
      </c>
      <c r="C588" s="6">
        <v>75</v>
      </c>
      <c r="D588" s="55" t="s">
        <v>1071</v>
      </c>
      <c r="E588" s="6" t="s">
        <v>915</v>
      </c>
      <c r="F588" s="33" t="s">
        <v>2361</v>
      </c>
      <c r="G588" s="9" t="s">
        <v>2100</v>
      </c>
      <c r="H588" s="33" t="s">
        <v>2395</v>
      </c>
      <c r="J588" s="6" t="s">
        <v>2102</v>
      </c>
      <c r="K588" s="6" t="s">
        <v>1087</v>
      </c>
      <c r="L588" s="6" t="s">
        <v>1087</v>
      </c>
      <c r="M588" s="6" t="s">
        <v>2099</v>
      </c>
      <c r="N588" s="49" t="s">
        <v>1663</v>
      </c>
      <c r="O588" s="49"/>
      <c r="P588" s="6"/>
      <c r="Q588" s="5"/>
      <c r="R588" s="5"/>
      <c r="S588" s="5"/>
    </row>
    <row r="589" spans="2:19" ht="16.5" customHeight="1" x14ac:dyDescent="0.2">
      <c r="B589" s="6">
        <v>274</v>
      </c>
      <c r="C589" s="6">
        <v>74</v>
      </c>
      <c r="D589" s="55" t="s">
        <v>1070</v>
      </c>
      <c r="E589" s="6" t="s">
        <v>915</v>
      </c>
      <c r="F589" s="33" t="s">
        <v>2360</v>
      </c>
      <c r="G589" s="9" t="s">
        <v>2100</v>
      </c>
      <c r="H589" s="33" t="s">
        <v>2394</v>
      </c>
      <c r="J589" s="6" t="s">
        <v>2102</v>
      </c>
      <c r="K589" s="6" t="s">
        <v>1087</v>
      </c>
      <c r="L589" s="6" t="s">
        <v>1087</v>
      </c>
      <c r="M589" s="6" t="s">
        <v>2099</v>
      </c>
      <c r="N589" s="49" t="s">
        <v>1663</v>
      </c>
      <c r="O589" s="49"/>
      <c r="P589" s="6"/>
      <c r="Q589" s="5"/>
      <c r="R589" s="5"/>
      <c r="S589" s="5"/>
    </row>
    <row r="590" spans="2:19" ht="16.5" customHeight="1" x14ac:dyDescent="0.2">
      <c r="B590" s="6">
        <v>483</v>
      </c>
      <c r="C590" s="6">
        <v>283</v>
      </c>
      <c r="D590" s="33" t="s">
        <v>2446</v>
      </c>
      <c r="E590" s="6"/>
      <c r="F590" s="45" t="s">
        <v>2517</v>
      </c>
      <c r="G590" s="9" t="s">
        <v>2520</v>
      </c>
      <c r="H590" s="45" t="s">
        <v>2517</v>
      </c>
      <c r="I590" s="45" t="s">
        <v>2517</v>
      </c>
      <c r="J590" s="6" t="s">
        <v>2232</v>
      </c>
      <c r="K590" s="6" t="s">
        <v>2350</v>
      </c>
      <c r="L590" s="6" t="s">
        <v>514</v>
      </c>
      <c r="M590" s="6" t="s">
        <v>469</v>
      </c>
      <c r="N590" s="49" t="s">
        <v>1663</v>
      </c>
      <c r="O590" s="43"/>
      <c r="P590" s="6"/>
      <c r="Q590" s="5"/>
      <c r="R590" s="5"/>
      <c r="S590" s="5"/>
    </row>
    <row r="591" spans="2:19" ht="16.5" customHeight="1" x14ac:dyDescent="0.2">
      <c r="B591" s="6">
        <v>271</v>
      </c>
      <c r="C591" s="6">
        <v>71</v>
      </c>
      <c r="D591" s="54" t="s">
        <v>2423</v>
      </c>
      <c r="E591" s="6" t="s">
        <v>915</v>
      </c>
      <c r="F591" s="33" t="s">
        <v>2357</v>
      </c>
      <c r="G591" s="9" t="s">
        <v>2100</v>
      </c>
      <c r="H591" s="33" t="s">
        <v>2391</v>
      </c>
      <c r="J591" s="6" t="s">
        <v>2102</v>
      </c>
      <c r="K591" s="6" t="s">
        <v>1087</v>
      </c>
      <c r="L591" s="6" t="s">
        <v>1087</v>
      </c>
      <c r="M591" s="6" t="s">
        <v>2099</v>
      </c>
      <c r="N591" s="49" t="s">
        <v>1663</v>
      </c>
      <c r="O591" s="49"/>
      <c r="P591" s="6"/>
      <c r="Q591" s="5"/>
      <c r="R591" s="5"/>
      <c r="S591" s="5"/>
    </row>
    <row r="592" spans="2:19" ht="16.5" customHeight="1" x14ac:dyDescent="0.2">
      <c r="B592" s="6">
        <v>915</v>
      </c>
      <c r="C592" s="6">
        <v>15</v>
      </c>
      <c r="D592" s="33" t="s">
        <v>1907</v>
      </c>
      <c r="E592" s="6" t="s">
        <v>915</v>
      </c>
      <c r="F592" s="33" t="s">
        <v>2010</v>
      </c>
      <c r="G592" s="9" t="s">
        <v>1933</v>
      </c>
      <c r="H592" s="33" t="s">
        <v>1937</v>
      </c>
      <c r="I592" s="33" t="s">
        <v>2010</v>
      </c>
      <c r="J592" s="5"/>
      <c r="K592" s="6" t="s">
        <v>1942</v>
      </c>
      <c r="L592" s="6" t="s">
        <v>514</v>
      </c>
      <c r="M592" s="49" t="s">
        <v>469</v>
      </c>
      <c r="N592" s="49" t="s">
        <v>2179</v>
      </c>
      <c r="O592" s="6" t="s">
        <v>2425</v>
      </c>
      <c r="P592" s="6"/>
      <c r="Q592" s="5"/>
      <c r="R592" s="5"/>
      <c r="S592" s="5"/>
    </row>
    <row r="593" spans="2:19" ht="16.5" customHeight="1" x14ac:dyDescent="0.2">
      <c r="B593" s="6">
        <v>600</v>
      </c>
      <c r="C593" s="6">
        <v>1</v>
      </c>
      <c r="D593" s="6" t="s">
        <v>891</v>
      </c>
      <c r="E593" s="6" t="s">
        <v>916</v>
      </c>
      <c r="F593" s="5" t="s">
        <v>891</v>
      </c>
      <c r="G593" s="5" t="s">
        <v>1205</v>
      </c>
      <c r="H593" s="5" t="s">
        <v>891</v>
      </c>
      <c r="I593" s="5" t="s">
        <v>891</v>
      </c>
      <c r="J593" s="5" t="s">
        <v>1206</v>
      </c>
      <c r="K593" s="5" t="s">
        <v>448</v>
      </c>
      <c r="L593" s="6" t="s">
        <v>541</v>
      </c>
      <c r="M593" s="49" t="s">
        <v>469</v>
      </c>
      <c r="N593" s="6" t="s">
        <v>1664</v>
      </c>
      <c r="P593" s="6">
        <v>1</v>
      </c>
      <c r="Q593" s="5"/>
      <c r="R593" s="5"/>
      <c r="S593" s="5"/>
    </row>
    <row r="594" spans="2:19" ht="16.5" customHeight="1" x14ac:dyDescent="0.2">
      <c r="B594" s="6">
        <f>600+Tabla3[[#This Row],[interno]]</f>
        <v>604</v>
      </c>
      <c r="C594" s="6">
        <v>4</v>
      </c>
      <c r="D594" s="80">
        <v>3316000759</v>
      </c>
      <c r="E594" s="47" t="s">
        <v>2362</v>
      </c>
      <c r="F594" s="45" t="s">
        <v>2367</v>
      </c>
      <c r="G594" s="45" t="s">
        <v>2670</v>
      </c>
      <c r="H594" s="45" t="s">
        <v>2367</v>
      </c>
      <c r="I594" s="49"/>
      <c r="J594" s="5" t="s">
        <v>1328</v>
      </c>
      <c r="K594" s="5" t="s">
        <v>822</v>
      </c>
      <c r="L594" s="6" t="s">
        <v>541</v>
      </c>
      <c r="M594" s="49" t="s">
        <v>469</v>
      </c>
      <c r="N594" s="49" t="s">
        <v>1665</v>
      </c>
      <c r="O594" s="49"/>
      <c r="P594" s="6">
        <v>1</v>
      </c>
      <c r="Q594" s="5"/>
      <c r="R594" s="5"/>
      <c r="S594" s="5"/>
    </row>
    <row r="595" spans="2:19" ht="16.5" customHeight="1" x14ac:dyDescent="0.2">
      <c r="B595" s="6">
        <f>600+Tabla3[[#This Row],[interno]]</f>
        <v>632</v>
      </c>
      <c r="C595" s="6">
        <v>32</v>
      </c>
      <c r="D595" s="80">
        <v>3781166877</v>
      </c>
      <c r="E595" s="47" t="s">
        <v>2365</v>
      </c>
      <c r="F595" s="45" t="s">
        <v>2366</v>
      </c>
      <c r="G595" s="45" t="s">
        <v>2671</v>
      </c>
      <c r="H595" s="45" t="s">
        <v>2366</v>
      </c>
      <c r="J595" s="45" t="s">
        <v>1328</v>
      </c>
      <c r="K595" s="5" t="s">
        <v>822</v>
      </c>
      <c r="L595" s="6" t="s">
        <v>541</v>
      </c>
      <c r="M595" s="49" t="s">
        <v>469</v>
      </c>
      <c r="N595" s="49" t="s">
        <v>1665</v>
      </c>
      <c r="O595" s="49"/>
      <c r="P595" s="6">
        <v>1</v>
      </c>
      <c r="Q595" s="5"/>
      <c r="R595" s="5"/>
      <c r="S595" s="5"/>
    </row>
    <row r="596" spans="2:19" ht="16.5" customHeight="1" x14ac:dyDescent="0.2">
      <c r="B596" s="6">
        <f>800+Tabla3[[#This Row],[interno]]</f>
        <v>806</v>
      </c>
      <c r="C596" s="6">
        <v>6</v>
      </c>
      <c r="D596" s="6">
        <v>3318464426</v>
      </c>
      <c r="E596" s="33" t="s">
        <v>1325</v>
      </c>
      <c r="F596" s="5" t="s">
        <v>1327</v>
      </c>
      <c r="G596" s="37" t="s">
        <v>2672</v>
      </c>
      <c r="H596" s="33" t="s">
        <v>1327</v>
      </c>
      <c r="J596" s="33" t="s">
        <v>1328</v>
      </c>
      <c r="K596" s="6" t="s">
        <v>886</v>
      </c>
      <c r="L596" s="6" t="s">
        <v>541</v>
      </c>
      <c r="M596" s="49" t="s">
        <v>469</v>
      </c>
      <c r="N596" s="6" t="s">
        <v>1668</v>
      </c>
      <c r="O596" s="6">
        <v>0</v>
      </c>
      <c r="P596" s="6"/>
      <c r="Q596" s="5"/>
      <c r="R596" s="5"/>
      <c r="S596" s="5"/>
    </row>
    <row r="597" spans="2:19" ht="16.5" customHeight="1" x14ac:dyDescent="0.2">
      <c r="B597" s="6">
        <f>600+Tabla3[[#This Row],[interno]]</f>
        <v>630</v>
      </c>
      <c r="C597" s="6">
        <v>30</v>
      </c>
      <c r="D597" s="81">
        <v>3781166712</v>
      </c>
      <c r="E597" s="82" t="s">
        <v>2400</v>
      </c>
      <c r="F597" s="74" t="s">
        <v>1657</v>
      </c>
      <c r="G597" s="87" t="s">
        <v>2401</v>
      </c>
      <c r="H597" s="74" t="s">
        <v>1657</v>
      </c>
      <c r="I597" s="74"/>
      <c r="J597" s="77" t="s">
        <v>1328</v>
      </c>
      <c r="K597" s="74" t="s">
        <v>41</v>
      </c>
      <c r="L597" s="74" t="s">
        <v>541</v>
      </c>
      <c r="M597" s="76" t="s">
        <v>469</v>
      </c>
      <c r="N597" s="76" t="s">
        <v>1665</v>
      </c>
      <c r="O597" s="76"/>
      <c r="P597" s="6">
        <v>1</v>
      </c>
      <c r="Q597" s="5"/>
      <c r="R597" s="5"/>
      <c r="S597" s="5"/>
    </row>
    <row r="598" spans="2:19" ht="16.5" customHeight="1" x14ac:dyDescent="0.2">
      <c r="B598" s="6">
        <f>600+Tabla3[[#This Row],[interno]]</f>
        <v>636</v>
      </c>
      <c r="C598" s="6">
        <v>36</v>
      </c>
      <c r="D598" s="81">
        <v>3331156822</v>
      </c>
      <c r="E598" s="82" t="s">
        <v>2398</v>
      </c>
      <c r="F598" s="77" t="s">
        <v>1326</v>
      </c>
      <c r="G598" s="87" t="s">
        <v>2399</v>
      </c>
      <c r="H598" s="77" t="s">
        <v>1326</v>
      </c>
      <c r="I598" s="74"/>
      <c r="J598" s="77" t="s">
        <v>1328</v>
      </c>
      <c r="K598" s="74" t="s">
        <v>41</v>
      </c>
      <c r="L598" s="74" t="s">
        <v>541</v>
      </c>
      <c r="M598" s="76" t="s">
        <v>469</v>
      </c>
      <c r="N598" s="76" t="s">
        <v>1665</v>
      </c>
      <c r="O598" s="76"/>
      <c r="P598" s="6"/>
      <c r="Q598" s="5"/>
      <c r="R598" s="5"/>
      <c r="S598" s="5"/>
    </row>
    <row r="599" spans="2:19" ht="16.5" customHeight="1" x14ac:dyDescent="0.2">
      <c r="B599" s="6">
        <f>600+Tabla3[[#This Row],[interno]]</f>
        <v>601</v>
      </c>
      <c r="C599" s="6">
        <v>1</v>
      </c>
      <c r="D599" s="46">
        <v>3310200444</v>
      </c>
      <c r="E599" s="46">
        <v>3310200444</v>
      </c>
      <c r="F599" s="46" t="s">
        <v>556</v>
      </c>
      <c r="G599" s="49" t="s">
        <v>655</v>
      </c>
      <c r="H599" s="49"/>
      <c r="I599" s="49"/>
      <c r="J599" s="49" t="s">
        <v>2013</v>
      </c>
      <c r="K599" s="49" t="s">
        <v>421</v>
      </c>
      <c r="L599" s="6" t="s">
        <v>514</v>
      </c>
      <c r="M599" s="49" t="s">
        <v>574</v>
      </c>
      <c r="N599" s="49" t="s">
        <v>1665</v>
      </c>
      <c r="O599" s="49"/>
      <c r="P599" s="6">
        <v>3</v>
      </c>
      <c r="Q599" s="5"/>
      <c r="R599" s="5"/>
      <c r="S599" s="5"/>
    </row>
    <row r="600" spans="2:19" ht="16.5" customHeight="1" x14ac:dyDescent="0.2">
      <c r="B600" s="6">
        <f>600+Tabla3[[#This Row],[interno]]</f>
        <v>602</v>
      </c>
      <c r="C600" s="6">
        <v>2</v>
      </c>
      <c r="D600" s="46">
        <v>3310201931</v>
      </c>
      <c r="E600" s="47" t="s">
        <v>2011</v>
      </c>
      <c r="F600" s="5" t="s">
        <v>556</v>
      </c>
      <c r="G600" s="5" t="s">
        <v>2012</v>
      </c>
      <c r="H600" s="5"/>
      <c r="I600" s="49"/>
      <c r="J600" s="5" t="s">
        <v>2013</v>
      </c>
      <c r="K600" s="5" t="s">
        <v>421</v>
      </c>
      <c r="L600" s="6" t="s">
        <v>514</v>
      </c>
      <c r="M600" s="49" t="s">
        <v>574</v>
      </c>
      <c r="N600" s="49" t="s">
        <v>1665</v>
      </c>
      <c r="O600" s="49"/>
      <c r="P600" s="6">
        <v>1</v>
      </c>
      <c r="Q600" s="5"/>
      <c r="R600" s="5"/>
      <c r="S600" s="5"/>
    </row>
    <row r="601" spans="2:19" ht="16.5" customHeight="1" x14ac:dyDescent="0.2">
      <c r="B601" s="6">
        <f>600+Tabla3[[#This Row],[interno]]</f>
        <v>617</v>
      </c>
      <c r="C601" s="6">
        <v>17</v>
      </c>
      <c r="D601" s="46">
        <v>3331156883</v>
      </c>
      <c r="E601" s="46">
        <v>3331156883</v>
      </c>
      <c r="F601" s="46" t="s">
        <v>556</v>
      </c>
      <c r="G601" s="49" t="s">
        <v>819</v>
      </c>
      <c r="H601" s="48"/>
      <c r="I601" s="48"/>
      <c r="J601" s="49" t="s">
        <v>820</v>
      </c>
      <c r="K601" s="49" t="s">
        <v>421</v>
      </c>
      <c r="L601" s="6" t="s">
        <v>514</v>
      </c>
      <c r="M601" s="49" t="s">
        <v>574</v>
      </c>
      <c r="N601" s="49" t="s">
        <v>1665</v>
      </c>
      <c r="O601" s="49"/>
      <c r="P601" s="6">
        <v>3</v>
      </c>
      <c r="Q601" s="5"/>
      <c r="R601" s="5"/>
      <c r="S601" s="5"/>
    </row>
    <row r="602" spans="2:19" ht="16.5" customHeight="1" x14ac:dyDescent="0.2">
      <c r="B602" s="6">
        <v>284</v>
      </c>
      <c r="C602" s="6">
        <v>84</v>
      </c>
      <c r="D602" s="33" t="s">
        <v>1267</v>
      </c>
      <c r="E602" s="6" t="s">
        <v>915</v>
      </c>
      <c r="F602" s="6"/>
      <c r="G602" s="9" t="s">
        <v>2100</v>
      </c>
      <c r="H602" s="33" t="s">
        <v>2397</v>
      </c>
      <c r="J602" s="6" t="s">
        <v>2102</v>
      </c>
      <c r="K602" s="6" t="s">
        <v>1087</v>
      </c>
      <c r="L602" s="6" t="s">
        <v>1087</v>
      </c>
      <c r="M602" s="6" t="s">
        <v>2099</v>
      </c>
      <c r="N602" s="49" t="s">
        <v>1663</v>
      </c>
      <c r="O602" s="49" t="s">
        <v>2191</v>
      </c>
      <c r="P602" s="6"/>
      <c r="Q602" s="5"/>
      <c r="R602" s="5"/>
      <c r="S602" s="5"/>
    </row>
    <row r="603" spans="2:19" ht="16.5" customHeight="1" x14ac:dyDescent="0.2">
      <c r="B603" s="6">
        <v>285</v>
      </c>
      <c r="C603" s="6">
        <v>85</v>
      </c>
      <c r="D603" s="33" t="s">
        <v>1268</v>
      </c>
      <c r="E603" s="6" t="s">
        <v>915</v>
      </c>
      <c r="F603" s="6"/>
      <c r="G603" s="9" t="s">
        <v>2100</v>
      </c>
      <c r="H603" s="33" t="s">
        <v>2396</v>
      </c>
      <c r="J603" s="6" t="s">
        <v>2102</v>
      </c>
      <c r="K603" s="6" t="s">
        <v>1087</v>
      </c>
      <c r="L603" s="6" t="s">
        <v>1087</v>
      </c>
      <c r="M603" s="6" t="s">
        <v>2099</v>
      </c>
      <c r="N603" s="49" t="s">
        <v>1663</v>
      </c>
      <c r="O603" s="49" t="s">
        <v>2191</v>
      </c>
      <c r="P603" s="6"/>
      <c r="Q603" s="5"/>
      <c r="R603" s="5"/>
      <c r="S603" s="5"/>
    </row>
    <row r="604" spans="2:19" ht="16.5" customHeight="1" x14ac:dyDescent="0.2">
      <c r="B604" s="6">
        <v>370</v>
      </c>
      <c r="C604" s="6">
        <v>170</v>
      </c>
      <c r="D604" s="33" t="s">
        <v>2215</v>
      </c>
      <c r="E604" s="6" t="s">
        <v>915</v>
      </c>
      <c r="F604" s="33"/>
      <c r="G604" s="9" t="s">
        <v>2100</v>
      </c>
      <c r="J604" s="6" t="s">
        <v>2102</v>
      </c>
      <c r="K604" s="6" t="s">
        <v>1087</v>
      </c>
      <c r="L604" s="6" t="s">
        <v>1087</v>
      </c>
      <c r="M604" s="6" t="s">
        <v>2099</v>
      </c>
      <c r="N604" s="6" t="s">
        <v>1663</v>
      </c>
      <c r="O604" s="43">
        <v>44617</v>
      </c>
      <c r="P604" s="6"/>
      <c r="Q604" s="5"/>
      <c r="R604" s="5"/>
      <c r="S604" s="5"/>
    </row>
    <row r="605" spans="2:19" ht="16.5" customHeight="1" x14ac:dyDescent="0.2">
      <c r="B605" s="6">
        <v>371</v>
      </c>
      <c r="C605" s="6">
        <v>171</v>
      </c>
      <c r="D605" s="33" t="s">
        <v>2216</v>
      </c>
      <c r="E605" s="6" t="s">
        <v>915</v>
      </c>
      <c r="F605" s="33"/>
      <c r="G605" s="9" t="s">
        <v>2100</v>
      </c>
      <c r="J605" s="6" t="s">
        <v>2102</v>
      </c>
      <c r="K605" s="6" t="s">
        <v>1087</v>
      </c>
      <c r="L605" s="6" t="s">
        <v>1087</v>
      </c>
      <c r="M605" s="6" t="s">
        <v>2099</v>
      </c>
      <c r="N605" s="6" t="s">
        <v>1663</v>
      </c>
      <c r="O605" s="43">
        <v>44617</v>
      </c>
      <c r="P605" s="6"/>
      <c r="Q605" s="5"/>
      <c r="R605" s="5"/>
      <c r="S605" s="5"/>
    </row>
    <row r="606" spans="2:19" ht="16.5" customHeight="1" x14ac:dyDescent="0.2">
      <c r="B606" s="6">
        <v>372</v>
      </c>
      <c r="C606" s="6">
        <v>172</v>
      </c>
      <c r="D606" s="33" t="s">
        <v>2217</v>
      </c>
      <c r="E606" s="6" t="s">
        <v>915</v>
      </c>
      <c r="F606" s="33"/>
      <c r="G606" s="9" t="s">
        <v>2100</v>
      </c>
      <c r="J606" s="6" t="s">
        <v>2102</v>
      </c>
      <c r="K606" s="6" t="s">
        <v>1087</v>
      </c>
      <c r="L606" s="6" t="s">
        <v>1087</v>
      </c>
      <c r="M606" s="6" t="s">
        <v>2099</v>
      </c>
      <c r="N606" s="6" t="s">
        <v>1663</v>
      </c>
      <c r="O606" s="43">
        <v>44617</v>
      </c>
      <c r="P606" s="6"/>
      <c r="Q606" s="5"/>
      <c r="R606" s="5"/>
      <c r="S606" s="5"/>
    </row>
    <row r="607" spans="2:19" ht="16.5" customHeight="1" x14ac:dyDescent="0.2">
      <c r="B607" s="6">
        <v>373</v>
      </c>
      <c r="C607" s="6">
        <v>173</v>
      </c>
      <c r="D607" s="33" t="s">
        <v>2218</v>
      </c>
      <c r="E607" s="6" t="s">
        <v>915</v>
      </c>
      <c r="F607" s="33"/>
      <c r="G607" s="9" t="s">
        <v>2100</v>
      </c>
      <c r="J607" s="6" t="s">
        <v>2102</v>
      </c>
      <c r="K607" s="6" t="s">
        <v>1087</v>
      </c>
      <c r="L607" s="6" t="s">
        <v>1087</v>
      </c>
      <c r="M607" s="6" t="s">
        <v>2099</v>
      </c>
      <c r="N607" s="6" t="s">
        <v>1663</v>
      </c>
      <c r="O607" s="43">
        <v>44617</v>
      </c>
      <c r="P607" s="6"/>
      <c r="Q607" s="5"/>
      <c r="R607" s="5"/>
      <c r="S607" s="5"/>
    </row>
    <row r="608" spans="2:19" ht="16.5" customHeight="1" x14ac:dyDescent="0.2">
      <c r="B608" s="6">
        <v>374</v>
      </c>
      <c r="C608" s="6">
        <v>174</v>
      </c>
      <c r="D608" s="33" t="s">
        <v>2219</v>
      </c>
      <c r="E608" s="6" t="s">
        <v>915</v>
      </c>
      <c r="F608" s="33"/>
      <c r="G608" s="9" t="s">
        <v>2100</v>
      </c>
      <c r="J608" s="6" t="s">
        <v>2102</v>
      </c>
      <c r="K608" s="6" t="s">
        <v>1087</v>
      </c>
      <c r="L608" s="6" t="s">
        <v>1087</v>
      </c>
      <c r="M608" s="6" t="s">
        <v>2099</v>
      </c>
      <c r="N608" s="6" t="s">
        <v>1663</v>
      </c>
      <c r="O608" s="43">
        <v>44617</v>
      </c>
      <c r="P608" s="6"/>
      <c r="Q608" s="5"/>
      <c r="R608" s="5"/>
      <c r="S608" s="5"/>
    </row>
    <row r="609" spans="2:19" ht="16.5" customHeight="1" x14ac:dyDescent="0.2">
      <c r="B609" s="6">
        <v>381</v>
      </c>
      <c r="C609" s="6">
        <v>181</v>
      </c>
      <c r="D609" s="33" t="s">
        <v>2226</v>
      </c>
      <c r="E609" s="6" t="s">
        <v>915</v>
      </c>
      <c r="F609" s="33"/>
      <c r="G609" s="9" t="s">
        <v>2100</v>
      </c>
      <c r="J609" s="6" t="s">
        <v>2102</v>
      </c>
      <c r="K609" s="6" t="s">
        <v>1087</v>
      </c>
      <c r="L609" s="6" t="s">
        <v>1087</v>
      </c>
      <c r="M609" s="6" t="s">
        <v>2099</v>
      </c>
      <c r="N609" s="49" t="s">
        <v>1663</v>
      </c>
      <c r="P609" s="6"/>
      <c r="Q609" s="5"/>
      <c r="R609" s="5"/>
      <c r="S609" s="5"/>
    </row>
    <row r="610" spans="2:19" ht="16.5" customHeight="1" x14ac:dyDescent="0.2">
      <c r="B610" s="6">
        <v>382</v>
      </c>
      <c r="C610" s="6">
        <v>182</v>
      </c>
      <c r="D610" s="33" t="s">
        <v>2201</v>
      </c>
      <c r="E610" s="6" t="s">
        <v>915</v>
      </c>
      <c r="F610" s="33"/>
      <c r="G610" s="9" t="s">
        <v>2100</v>
      </c>
      <c r="J610" s="6" t="s">
        <v>2102</v>
      </c>
      <c r="K610" s="6" t="s">
        <v>1087</v>
      </c>
      <c r="L610" s="6" t="s">
        <v>1087</v>
      </c>
      <c r="M610" s="6" t="s">
        <v>2099</v>
      </c>
      <c r="N610" s="49" t="s">
        <v>1663</v>
      </c>
      <c r="P610" s="6"/>
      <c r="Q610" s="5"/>
      <c r="R610" s="5"/>
      <c r="S610" s="5"/>
    </row>
    <row r="611" spans="2:19" ht="16.5" customHeight="1" x14ac:dyDescent="0.2">
      <c r="B611" s="6">
        <v>410</v>
      </c>
      <c r="C611" s="6">
        <v>210</v>
      </c>
      <c r="D611" s="45" t="s">
        <v>2311</v>
      </c>
      <c r="E611" s="6" t="s">
        <v>915</v>
      </c>
      <c r="F611" s="33"/>
      <c r="G611" s="9"/>
      <c r="M611" s="49" t="s">
        <v>469</v>
      </c>
      <c r="N611" s="49" t="s">
        <v>1663</v>
      </c>
      <c r="P611" s="6"/>
      <c r="Q611" s="5"/>
      <c r="R611" s="5"/>
      <c r="S611" s="5"/>
    </row>
    <row r="612" spans="2:19" ht="16.5" customHeight="1" x14ac:dyDescent="0.2">
      <c r="B612" s="6">
        <v>419</v>
      </c>
      <c r="C612" s="6">
        <v>219</v>
      </c>
      <c r="D612" s="45" t="s">
        <v>2320</v>
      </c>
      <c r="E612" s="6" t="s">
        <v>915</v>
      </c>
      <c r="F612" s="33"/>
      <c r="G612" s="9" t="s">
        <v>2100</v>
      </c>
      <c r="J612" s="6" t="s">
        <v>2102</v>
      </c>
      <c r="K612" s="6" t="s">
        <v>1087</v>
      </c>
      <c r="L612" s="6" t="s">
        <v>1087</v>
      </c>
      <c r="M612" s="6" t="s">
        <v>2099</v>
      </c>
      <c r="N612" s="49" t="s">
        <v>1663</v>
      </c>
      <c r="O612" s="43">
        <v>44722</v>
      </c>
      <c r="P612" s="6"/>
      <c r="Q612" s="5"/>
      <c r="R612" s="5"/>
      <c r="S612" s="5"/>
    </row>
    <row r="613" spans="2:19" ht="16.5" customHeight="1" x14ac:dyDescent="0.2">
      <c r="B613" s="6">
        <v>420</v>
      </c>
      <c r="C613" s="6">
        <v>220</v>
      </c>
      <c r="D613" s="45" t="s">
        <v>2321</v>
      </c>
      <c r="E613" s="6" t="s">
        <v>915</v>
      </c>
      <c r="F613" s="33"/>
      <c r="G613" s="9" t="s">
        <v>2100</v>
      </c>
      <c r="J613" s="6" t="s">
        <v>2102</v>
      </c>
      <c r="K613" s="6" t="s">
        <v>1087</v>
      </c>
      <c r="L613" s="6" t="s">
        <v>1087</v>
      </c>
      <c r="M613" s="6" t="s">
        <v>2099</v>
      </c>
      <c r="N613" s="49" t="s">
        <v>1663</v>
      </c>
      <c r="O613" s="43">
        <v>44722</v>
      </c>
      <c r="P613" s="6"/>
      <c r="Q613" s="5"/>
      <c r="R613" s="5"/>
      <c r="S613" s="5"/>
    </row>
    <row r="614" spans="2:19" ht="16.5" customHeight="1" x14ac:dyDescent="0.2">
      <c r="B614" s="6">
        <v>421</v>
      </c>
      <c r="C614" s="6">
        <v>221</v>
      </c>
      <c r="D614" s="45" t="s">
        <v>2322</v>
      </c>
      <c r="E614" s="6" t="s">
        <v>915</v>
      </c>
      <c r="F614" s="33"/>
      <c r="G614" s="9" t="s">
        <v>2100</v>
      </c>
      <c r="J614" s="6" t="s">
        <v>2102</v>
      </c>
      <c r="K614" s="6" t="s">
        <v>1087</v>
      </c>
      <c r="L614" s="6" t="s">
        <v>1087</v>
      </c>
      <c r="M614" s="6" t="s">
        <v>2099</v>
      </c>
      <c r="N614" s="49" t="s">
        <v>1663</v>
      </c>
      <c r="O614" s="43">
        <v>44722</v>
      </c>
      <c r="P614" s="6"/>
      <c r="Q614" s="5"/>
      <c r="R614" s="5"/>
      <c r="S614" s="5"/>
    </row>
    <row r="615" spans="2:19" ht="16.5" customHeight="1" x14ac:dyDescent="0.2">
      <c r="B615" s="6">
        <v>422</v>
      </c>
      <c r="C615" s="6">
        <v>222</v>
      </c>
      <c r="D615" s="45" t="s">
        <v>2323</v>
      </c>
      <c r="E615" s="6" t="s">
        <v>915</v>
      </c>
      <c r="F615" s="33"/>
      <c r="G615" s="9" t="s">
        <v>2100</v>
      </c>
      <c r="J615" s="6" t="s">
        <v>2102</v>
      </c>
      <c r="K615" s="6" t="s">
        <v>1087</v>
      </c>
      <c r="L615" s="6" t="s">
        <v>1087</v>
      </c>
      <c r="M615" s="6" t="s">
        <v>2099</v>
      </c>
      <c r="N615" s="49" t="s">
        <v>1663</v>
      </c>
      <c r="O615" s="43">
        <v>44722</v>
      </c>
      <c r="P615" s="6"/>
      <c r="Q615" s="5"/>
      <c r="R615" s="5"/>
      <c r="S615" s="5"/>
    </row>
    <row r="616" spans="2:19" ht="16.5" customHeight="1" x14ac:dyDescent="0.2">
      <c r="B616" s="6">
        <v>423</v>
      </c>
      <c r="C616" s="6">
        <v>223</v>
      </c>
      <c r="D616" s="45" t="s">
        <v>2324</v>
      </c>
      <c r="E616" s="6" t="s">
        <v>915</v>
      </c>
      <c r="F616" s="33"/>
      <c r="G616" s="9" t="s">
        <v>2100</v>
      </c>
      <c r="J616" s="6" t="s">
        <v>2102</v>
      </c>
      <c r="K616" s="6" t="s">
        <v>1087</v>
      </c>
      <c r="L616" s="6" t="s">
        <v>1087</v>
      </c>
      <c r="M616" s="6" t="s">
        <v>2099</v>
      </c>
      <c r="N616" s="49" t="s">
        <v>1663</v>
      </c>
      <c r="O616" s="43">
        <v>44722</v>
      </c>
      <c r="P616" s="6"/>
      <c r="Q616" s="5"/>
      <c r="R616" s="5"/>
      <c r="S616" s="5"/>
    </row>
    <row r="617" spans="2:19" ht="16.5" customHeight="1" x14ac:dyDescent="0.2">
      <c r="B617" s="6">
        <v>424</v>
      </c>
      <c r="C617" s="6">
        <v>224</v>
      </c>
      <c r="D617" s="45" t="s">
        <v>2325</v>
      </c>
      <c r="E617" s="6" t="s">
        <v>915</v>
      </c>
      <c r="F617" s="33"/>
      <c r="G617" s="9" t="s">
        <v>2100</v>
      </c>
      <c r="J617" s="6" t="s">
        <v>2102</v>
      </c>
      <c r="K617" s="6" t="s">
        <v>1087</v>
      </c>
      <c r="L617" s="6" t="s">
        <v>1087</v>
      </c>
      <c r="M617" s="6" t="s">
        <v>2099</v>
      </c>
      <c r="N617" s="49" t="s">
        <v>1663</v>
      </c>
      <c r="O617" s="43">
        <v>44722</v>
      </c>
      <c r="P617" s="6"/>
      <c r="Q617" s="5"/>
      <c r="R617" s="5"/>
      <c r="S617" s="5"/>
    </row>
    <row r="618" spans="2:19" ht="16.5" customHeight="1" x14ac:dyDescent="0.2">
      <c r="B618" s="6">
        <v>425</v>
      </c>
      <c r="C618" s="6">
        <v>225</v>
      </c>
      <c r="D618" s="45" t="s">
        <v>2326</v>
      </c>
      <c r="E618" s="6" t="s">
        <v>915</v>
      </c>
      <c r="F618" s="33"/>
      <c r="G618" s="9" t="s">
        <v>2100</v>
      </c>
      <c r="J618" s="6" t="s">
        <v>2102</v>
      </c>
      <c r="K618" s="6" t="s">
        <v>1087</v>
      </c>
      <c r="L618" s="6" t="s">
        <v>1087</v>
      </c>
      <c r="M618" s="6" t="s">
        <v>2099</v>
      </c>
      <c r="N618" s="49" t="s">
        <v>1663</v>
      </c>
      <c r="O618" s="43">
        <v>44722</v>
      </c>
      <c r="P618" s="6"/>
      <c r="Q618" s="5"/>
      <c r="R618" s="5"/>
      <c r="S618" s="5"/>
    </row>
    <row r="619" spans="2:19" ht="16.5" customHeight="1" x14ac:dyDescent="0.2">
      <c r="B619" s="6">
        <v>426</v>
      </c>
      <c r="C619" s="6">
        <v>226</v>
      </c>
      <c r="D619" s="45" t="s">
        <v>2327</v>
      </c>
      <c r="E619" s="6" t="s">
        <v>915</v>
      </c>
      <c r="F619" s="33"/>
      <c r="G619" s="9" t="s">
        <v>2100</v>
      </c>
      <c r="J619" s="6" t="s">
        <v>2102</v>
      </c>
      <c r="K619" s="6" t="s">
        <v>1087</v>
      </c>
      <c r="L619" s="6" t="s">
        <v>1087</v>
      </c>
      <c r="M619" s="6" t="s">
        <v>2099</v>
      </c>
      <c r="N619" s="49" t="s">
        <v>1663</v>
      </c>
      <c r="O619" s="43">
        <v>44722</v>
      </c>
      <c r="P619" s="6"/>
      <c r="Q619" s="5"/>
      <c r="R619" s="5"/>
      <c r="S619" s="5"/>
    </row>
    <row r="620" spans="2:19" ht="16.5" customHeight="1" x14ac:dyDescent="0.2">
      <c r="B620" s="6">
        <v>427</v>
      </c>
      <c r="C620" s="6">
        <v>227</v>
      </c>
      <c r="D620" s="45" t="s">
        <v>2328</v>
      </c>
      <c r="E620" s="6" t="s">
        <v>915</v>
      </c>
      <c r="F620" s="33"/>
      <c r="G620" s="9" t="s">
        <v>2100</v>
      </c>
      <c r="J620" s="6" t="s">
        <v>2102</v>
      </c>
      <c r="K620" s="6" t="s">
        <v>1087</v>
      </c>
      <c r="L620" s="6" t="s">
        <v>1087</v>
      </c>
      <c r="M620" s="6" t="s">
        <v>2099</v>
      </c>
      <c r="N620" s="49" t="s">
        <v>1663</v>
      </c>
      <c r="O620" s="43">
        <v>44722</v>
      </c>
      <c r="P620" s="6"/>
      <c r="Q620" s="5"/>
      <c r="R620" s="5"/>
      <c r="S620" s="5"/>
    </row>
    <row r="621" spans="2:19" ht="16.5" customHeight="1" x14ac:dyDescent="0.2">
      <c r="B621" s="6">
        <v>428</v>
      </c>
      <c r="C621" s="6">
        <v>228</v>
      </c>
      <c r="D621" s="45" t="s">
        <v>2329</v>
      </c>
      <c r="E621" s="6" t="s">
        <v>915</v>
      </c>
      <c r="F621" s="33"/>
      <c r="G621" s="9" t="s">
        <v>2100</v>
      </c>
      <c r="J621" s="6" t="s">
        <v>2102</v>
      </c>
      <c r="K621" s="6" t="s">
        <v>1087</v>
      </c>
      <c r="L621" s="6" t="s">
        <v>1087</v>
      </c>
      <c r="M621" s="6" t="s">
        <v>2099</v>
      </c>
      <c r="N621" s="49" t="s">
        <v>1663</v>
      </c>
      <c r="O621" s="43">
        <v>44722</v>
      </c>
      <c r="P621" s="6"/>
      <c r="Q621" s="5"/>
      <c r="R621" s="5"/>
      <c r="S621" s="5"/>
    </row>
    <row r="622" spans="2:19" ht="16.5" customHeight="1" x14ac:dyDescent="0.2">
      <c r="B622" s="6">
        <v>437</v>
      </c>
      <c r="C622" s="6">
        <v>237</v>
      </c>
      <c r="D622" s="33" t="s">
        <v>2370</v>
      </c>
      <c r="E622" s="6"/>
      <c r="F622" s="45"/>
      <c r="G622" s="9" t="s">
        <v>2100</v>
      </c>
      <c r="J622" s="6" t="s">
        <v>2102</v>
      </c>
      <c r="K622" s="6" t="s">
        <v>1087</v>
      </c>
      <c r="L622" s="6" t="s">
        <v>1087</v>
      </c>
      <c r="M622" s="6" t="s">
        <v>2099</v>
      </c>
      <c r="N622" s="49" t="s">
        <v>1663</v>
      </c>
      <c r="O622" s="43">
        <v>44763</v>
      </c>
      <c r="P622" s="6"/>
      <c r="Q622" s="5"/>
      <c r="R622" s="5"/>
      <c r="S622" s="5"/>
    </row>
    <row r="623" spans="2:19" ht="16.5" customHeight="1" x14ac:dyDescent="0.2">
      <c r="B623" s="6">
        <v>438</v>
      </c>
      <c r="C623" s="6">
        <v>238</v>
      </c>
      <c r="D623" s="33" t="s">
        <v>2371</v>
      </c>
      <c r="E623" s="6"/>
      <c r="F623" s="45"/>
      <c r="G623" s="9" t="s">
        <v>2100</v>
      </c>
      <c r="J623" s="6" t="s">
        <v>2102</v>
      </c>
      <c r="K623" s="6" t="s">
        <v>1087</v>
      </c>
      <c r="L623" s="6" t="s">
        <v>1087</v>
      </c>
      <c r="M623" s="6" t="s">
        <v>2099</v>
      </c>
      <c r="N623" s="49" t="s">
        <v>1663</v>
      </c>
      <c r="O623" s="43">
        <v>44763</v>
      </c>
      <c r="P623" s="6"/>
      <c r="Q623" s="5"/>
      <c r="R623" s="5"/>
      <c r="S623" s="5"/>
    </row>
    <row r="624" spans="2:19" ht="16.5" customHeight="1" x14ac:dyDescent="0.2">
      <c r="B624" s="6">
        <v>439</v>
      </c>
      <c r="C624" s="6">
        <v>239</v>
      </c>
      <c r="D624" s="33" t="s">
        <v>2372</v>
      </c>
      <c r="E624" s="6"/>
      <c r="F624" s="45"/>
      <c r="G624" s="9" t="s">
        <v>2100</v>
      </c>
      <c r="J624" s="6" t="s">
        <v>2102</v>
      </c>
      <c r="K624" s="6" t="s">
        <v>1087</v>
      </c>
      <c r="L624" s="6" t="s">
        <v>1087</v>
      </c>
      <c r="M624" s="6" t="s">
        <v>2099</v>
      </c>
      <c r="N624" s="49" t="s">
        <v>1663</v>
      </c>
      <c r="O624" s="43">
        <v>44763</v>
      </c>
      <c r="P624" s="6"/>
      <c r="Q624" s="5"/>
      <c r="R624" s="5"/>
      <c r="S624" s="5"/>
    </row>
    <row r="625" spans="2:19" ht="16.5" customHeight="1" x14ac:dyDescent="0.2">
      <c r="B625" s="6">
        <v>440</v>
      </c>
      <c r="C625" s="6">
        <v>240</v>
      </c>
      <c r="D625" s="33" t="s">
        <v>2376</v>
      </c>
      <c r="E625" s="6"/>
      <c r="F625" s="45"/>
      <c r="G625" s="9" t="s">
        <v>2100</v>
      </c>
      <c r="J625" s="6" t="s">
        <v>2102</v>
      </c>
      <c r="K625" s="6" t="s">
        <v>1087</v>
      </c>
      <c r="L625" s="6" t="s">
        <v>1087</v>
      </c>
      <c r="M625" s="6" t="s">
        <v>2099</v>
      </c>
      <c r="N625" s="49" t="s">
        <v>1663</v>
      </c>
      <c r="O625" s="43">
        <v>44763</v>
      </c>
      <c r="P625" s="6"/>
      <c r="Q625" s="5"/>
      <c r="R625" s="5"/>
      <c r="S625" s="5"/>
    </row>
    <row r="626" spans="2:19" ht="16.5" customHeight="1" x14ac:dyDescent="0.2">
      <c r="B626" s="6">
        <v>441</v>
      </c>
      <c r="C626" s="6">
        <v>241</v>
      </c>
      <c r="D626" s="33" t="s">
        <v>2377</v>
      </c>
      <c r="E626" s="6"/>
      <c r="F626" s="45"/>
      <c r="G626" s="9" t="s">
        <v>2100</v>
      </c>
      <c r="J626" s="6" t="s">
        <v>2102</v>
      </c>
      <c r="K626" s="6" t="s">
        <v>1087</v>
      </c>
      <c r="L626" s="6" t="s">
        <v>1087</v>
      </c>
      <c r="M626" s="6" t="s">
        <v>2099</v>
      </c>
      <c r="N626" s="49" t="s">
        <v>1663</v>
      </c>
      <c r="O626" s="43">
        <v>44763</v>
      </c>
      <c r="P626" s="6"/>
      <c r="Q626" s="5"/>
      <c r="R626" s="5"/>
      <c r="S626" s="5"/>
    </row>
    <row r="627" spans="2:19" ht="16.5" customHeight="1" x14ac:dyDescent="0.2">
      <c r="B627" s="6">
        <v>442</v>
      </c>
      <c r="C627" s="6">
        <v>242</v>
      </c>
      <c r="D627" s="33" t="s">
        <v>2378</v>
      </c>
      <c r="E627" s="6"/>
      <c r="F627" s="45"/>
      <c r="G627" s="9" t="s">
        <v>2100</v>
      </c>
      <c r="J627" s="6" t="s">
        <v>2102</v>
      </c>
      <c r="K627" s="6" t="s">
        <v>1087</v>
      </c>
      <c r="L627" s="6" t="s">
        <v>1087</v>
      </c>
      <c r="M627" s="6" t="s">
        <v>2099</v>
      </c>
      <c r="N627" s="49" t="s">
        <v>1663</v>
      </c>
      <c r="O627" s="43">
        <v>44763</v>
      </c>
      <c r="P627" s="6"/>
      <c r="Q627" s="5"/>
      <c r="R627" s="5"/>
      <c r="S627" s="5"/>
    </row>
    <row r="628" spans="2:19" ht="16.5" customHeight="1" x14ac:dyDescent="0.2">
      <c r="B628" s="6">
        <v>443</v>
      </c>
      <c r="C628" s="6">
        <v>243</v>
      </c>
      <c r="D628" s="33" t="s">
        <v>2379</v>
      </c>
      <c r="E628" s="6"/>
      <c r="F628" s="45"/>
      <c r="G628" s="9" t="s">
        <v>2100</v>
      </c>
      <c r="J628" s="6" t="s">
        <v>2102</v>
      </c>
      <c r="K628" s="6" t="s">
        <v>1087</v>
      </c>
      <c r="L628" s="6" t="s">
        <v>1087</v>
      </c>
      <c r="M628" s="6" t="s">
        <v>2099</v>
      </c>
      <c r="N628" s="49" t="s">
        <v>1663</v>
      </c>
      <c r="O628" s="43">
        <v>44763</v>
      </c>
      <c r="P628" s="6"/>
      <c r="Q628" s="5"/>
      <c r="R628" s="5"/>
      <c r="S628" s="5"/>
    </row>
    <row r="629" spans="2:19" ht="16.5" customHeight="1" x14ac:dyDescent="0.2">
      <c r="B629" s="6">
        <v>444</v>
      </c>
      <c r="C629" s="6">
        <v>244</v>
      </c>
      <c r="D629" s="33" t="s">
        <v>2380</v>
      </c>
      <c r="E629" s="6"/>
      <c r="F629" s="45"/>
      <c r="G629" s="9" t="s">
        <v>2100</v>
      </c>
      <c r="J629" s="6" t="s">
        <v>2102</v>
      </c>
      <c r="K629" s="6" t="s">
        <v>1087</v>
      </c>
      <c r="L629" s="6" t="s">
        <v>1087</v>
      </c>
      <c r="M629" s="6" t="s">
        <v>2099</v>
      </c>
      <c r="N629" s="49" t="s">
        <v>1663</v>
      </c>
      <c r="O629" s="43">
        <v>44763</v>
      </c>
      <c r="P629" s="6"/>
      <c r="Q629" s="5"/>
      <c r="R629" s="5"/>
      <c r="S629" s="5"/>
    </row>
    <row r="630" spans="2:19" ht="16.5" customHeight="1" x14ac:dyDescent="0.2">
      <c r="B630" s="6">
        <v>445</v>
      </c>
      <c r="C630" s="6">
        <v>245</v>
      </c>
      <c r="D630" s="33" t="s">
        <v>2381</v>
      </c>
      <c r="E630" s="6"/>
      <c r="F630" s="45"/>
      <c r="G630" s="9" t="s">
        <v>2100</v>
      </c>
      <c r="J630" s="6" t="s">
        <v>2102</v>
      </c>
      <c r="K630" s="6" t="s">
        <v>1087</v>
      </c>
      <c r="L630" s="6" t="s">
        <v>1087</v>
      </c>
      <c r="M630" s="6" t="s">
        <v>2099</v>
      </c>
      <c r="N630" s="49" t="s">
        <v>1663</v>
      </c>
      <c r="O630" s="43">
        <v>44763</v>
      </c>
      <c r="P630" s="6"/>
      <c r="Q630" s="5"/>
      <c r="R630" s="5"/>
      <c r="S630" s="5"/>
    </row>
    <row r="631" spans="2:19" ht="16.5" customHeight="1" x14ac:dyDescent="0.2">
      <c r="B631" s="6">
        <v>446</v>
      </c>
      <c r="C631" s="6">
        <v>246</v>
      </c>
      <c r="D631" s="33" t="s">
        <v>2382</v>
      </c>
      <c r="E631" s="6"/>
      <c r="F631" s="45"/>
      <c r="G631" s="9" t="s">
        <v>2100</v>
      </c>
      <c r="J631" s="6" t="s">
        <v>2102</v>
      </c>
      <c r="K631" s="6" t="s">
        <v>1087</v>
      </c>
      <c r="L631" s="6" t="s">
        <v>1087</v>
      </c>
      <c r="M631" s="6" t="s">
        <v>2099</v>
      </c>
      <c r="N631" s="49" t="s">
        <v>1663</v>
      </c>
      <c r="O631" s="43">
        <v>44763</v>
      </c>
      <c r="P631" s="6"/>
      <c r="Q631" s="5"/>
      <c r="R631" s="5"/>
      <c r="S631" s="5"/>
    </row>
    <row r="632" spans="2:19" ht="16.5" customHeight="1" x14ac:dyDescent="0.2">
      <c r="B632" s="6">
        <v>447</v>
      </c>
      <c r="C632" s="6">
        <v>247</v>
      </c>
      <c r="D632" s="33" t="s">
        <v>2383</v>
      </c>
      <c r="E632" s="6"/>
      <c r="F632" s="45"/>
      <c r="G632" s="9" t="s">
        <v>2642</v>
      </c>
      <c r="N632" s="49" t="s">
        <v>1663</v>
      </c>
      <c r="O632" s="43"/>
      <c r="P632" s="6"/>
      <c r="Q632" s="5"/>
      <c r="R632" s="5"/>
      <c r="S632" s="5"/>
    </row>
    <row r="633" spans="2:19" ht="16.5" customHeight="1" x14ac:dyDescent="0.2">
      <c r="B633" s="6">
        <v>451</v>
      </c>
      <c r="C633" s="6">
        <v>251</v>
      </c>
      <c r="D633" s="33" t="s">
        <v>2385</v>
      </c>
      <c r="E633" s="6"/>
      <c r="F633" s="45"/>
      <c r="G633" s="9" t="s">
        <v>2643</v>
      </c>
      <c r="N633" s="49" t="s">
        <v>1663</v>
      </c>
      <c r="O633" s="43"/>
      <c r="P633" s="6"/>
      <c r="Q633" s="5"/>
      <c r="R633" s="5"/>
      <c r="S633" s="5"/>
    </row>
    <row r="634" spans="2:19" ht="16.5" customHeight="1" x14ac:dyDescent="0.2">
      <c r="B634" s="6">
        <v>458</v>
      </c>
      <c r="C634" s="6">
        <v>258</v>
      </c>
      <c r="D634" s="33" t="s">
        <v>2388</v>
      </c>
      <c r="E634" s="6"/>
      <c r="F634" s="45"/>
      <c r="G634" s="9" t="s">
        <v>2100</v>
      </c>
      <c r="J634" s="6" t="s">
        <v>2102</v>
      </c>
      <c r="K634" s="6" t="s">
        <v>1087</v>
      </c>
      <c r="L634" s="6" t="s">
        <v>1087</v>
      </c>
      <c r="M634" s="6" t="s">
        <v>2099</v>
      </c>
      <c r="N634" s="49" t="s">
        <v>1663</v>
      </c>
      <c r="O634" s="43">
        <v>44804</v>
      </c>
      <c r="P634" s="6"/>
      <c r="Q634" s="5"/>
      <c r="R634" s="5"/>
      <c r="S634" s="5"/>
    </row>
    <row r="635" spans="2:19" ht="16.5" customHeight="1" x14ac:dyDescent="0.2">
      <c r="B635" s="6">
        <v>460</v>
      </c>
      <c r="C635" s="6">
        <v>260</v>
      </c>
      <c r="D635" s="33" t="s">
        <v>2389</v>
      </c>
      <c r="E635" s="6"/>
      <c r="F635" s="45"/>
      <c r="G635" s="9" t="s">
        <v>2100</v>
      </c>
      <c r="J635" s="6" t="s">
        <v>2102</v>
      </c>
      <c r="K635" s="6" t="s">
        <v>1087</v>
      </c>
      <c r="L635" s="6" t="s">
        <v>1087</v>
      </c>
      <c r="M635" s="6" t="s">
        <v>2099</v>
      </c>
      <c r="N635" s="49" t="s">
        <v>1663</v>
      </c>
      <c r="O635" s="43">
        <v>44804</v>
      </c>
      <c r="P635" s="6"/>
      <c r="Q635" s="5"/>
      <c r="R635" s="5"/>
      <c r="S635" s="5"/>
    </row>
    <row r="636" spans="2:19" ht="16.5" customHeight="1" x14ac:dyDescent="0.2">
      <c r="B636" s="6">
        <v>461</v>
      </c>
      <c r="C636" s="6">
        <v>261</v>
      </c>
      <c r="D636" s="33" t="s">
        <v>2390</v>
      </c>
      <c r="E636" s="6"/>
      <c r="F636" s="45"/>
      <c r="G636" s="9" t="s">
        <v>2100</v>
      </c>
      <c r="J636" s="6" t="s">
        <v>2102</v>
      </c>
      <c r="K636" s="6" t="s">
        <v>1087</v>
      </c>
      <c r="L636" s="6" t="s">
        <v>1087</v>
      </c>
      <c r="M636" s="6" t="s">
        <v>2099</v>
      </c>
      <c r="N636" s="49" t="s">
        <v>1663</v>
      </c>
      <c r="O636" s="43">
        <v>44806</v>
      </c>
      <c r="P636" s="6"/>
      <c r="Q636" s="5"/>
      <c r="R636" s="5"/>
      <c r="S636" s="5"/>
    </row>
    <row r="637" spans="2:19" ht="16.5" customHeight="1" x14ac:dyDescent="0.2">
      <c r="B637" s="6">
        <v>463</v>
      </c>
      <c r="C637" s="6">
        <v>263</v>
      </c>
      <c r="D637" s="33" t="s">
        <v>2406</v>
      </c>
      <c r="E637" s="6"/>
      <c r="F637" s="45"/>
      <c r="G637" s="9" t="s">
        <v>2100</v>
      </c>
      <c r="J637" s="6" t="s">
        <v>2102</v>
      </c>
      <c r="K637" s="6" t="s">
        <v>1087</v>
      </c>
      <c r="L637" s="6" t="s">
        <v>1087</v>
      </c>
      <c r="M637" s="6" t="s">
        <v>2099</v>
      </c>
      <c r="N637" s="49" t="s">
        <v>1663</v>
      </c>
      <c r="O637" s="43">
        <v>44804</v>
      </c>
      <c r="P637" s="6"/>
      <c r="Q637" s="5"/>
      <c r="R637" s="5"/>
      <c r="S637" s="5"/>
    </row>
    <row r="638" spans="2:19" ht="16.5" customHeight="1" x14ac:dyDescent="0.2">
      <c r="B638" s="6">
        <v>464</v>
      </c>
      <c r="C638" s="6">
        <v>264</v>
      </c>
      <c r="D638" s="33" t="s">
        <v>2407</v>
      </c>
      <c r="E638" s="6"/>
      <c r="F638" s="45"/>
      <c r="G638" s="9" t="s">
        <v>2100</v>
      </c>
      <c r="J638" s="6" t="s">
        <v>2102</v>
      </c>
      <c r="K638" s="6" t="s">
        <v>1087</v>
      </c>
      <c r="L638" s="6" t="s">
        <v>1087</v>
      </c>
      <c r="M638" s="6" t="s">
        <v>2099</v>
      </c>
      <c r="N638" s="49" t="s">
        <v>1663</v>
      </c>
      <c r="O638" s="43">
        <v>44804</v>
      </c>
      <c r="P638" s="6"/>
      <c r="Q638" s="5"/>
      <c r="R638" s="5"/>
      <c r="S638" s="5"/>
    </row>
    <row r="639" spans="2:19" ht="16.5" customHeight="1" x14ac:dyDescent="0.2">
      <c r="B639" s="6">
        <v>488</v>
      </c>
      <c r="C639" s="6">
        <v>288</v>
      </c>
      <c r="D639" s="33" t="s">
        <v>2451</v>
      </c>
      <c r="E639" s="6"/>
      <c r="F639" s="45"/>
      <c r="G639" s="9" t="s">
        <v>2524</v>
      </c>
      <c r="N639" s="49" t="s">
        <v>1663</v>
      </c>
      <c r="O639" s="43">
        <v>44846</v>
      </c>
      <c r="P639" s="6"/>
      <c r="Q639" s="5"/>
      <c r="R639" s="5"/>
      <c r="S639" s="5"/>
    </row>
    <row r="640" spans="2:19" ht="16.5" customHeight="1" x14ac:dyDescent="0.2">
      <c r="B640" s="6">
        <v>489</v>
      </c>
      <c r="C640" s="6">
        <v>289</v>
      </c>
      <c r="D640" s="33" t="s">
        <v>2452</v>
      </c>
      <c r="E640" s="6"/>
      <c r="F640" s="45"/>
      <c r="G640" s="9" t="s">
        <v>2525</v>
      </c>
      <c r="N640" s="49" t="s">
        <v>1663</v>
      </c>
      <c r="O640" s="43">
        <v>44846</v>
      </c>
      <c r="P640" s="6"/>
      <c r="Q640" s="5"/>
      <c r="R640" s="5"/>
      <c r="S640" s="5"/>
    </row>
    <row r="641" spans="2:19" ht="16.5" customHeight="1" x14ac:dyDescent="0.2">
      <c r="B641" s="6">
        <v>495</v>
      </c>
      <c r="C641" s="6">
        <v>295</v>
      </c>
      <c r="D641" s="33" t="s">
        <v>2531</v>
      </c>
      <c r="E641" s="6"/>
      <c r="F641" s="45"/>
      <c r="G641" s="9" t="s">
        <v>2560</v>
      </c>
      <c r="N641" s="49" t="s">
        <v>1663</v>
      </c>
      <c r="O641" s="43">
        <v>44874</v>
      </c>
      <c r="P641" s="6"/>
      <c r="Q641" s="5"/>
      <c r="R641" s="5"/>
      <c r="S641" s="5"/>
    </row>
    <row r="642" spans="2:19" ht="16.5" customHeight="1" x14ac:dyDescent="0.2">
      <c r="B642" s="6">
        <v>496</v>
      </c>
      <c r="C642" s="6">
        <v>296</v>
      </c>
      <c r="D642" s="33" t="s">
        <v>2532</v>
      </c>
      <c r="E642" s="6"/>
      <c r="F642" s="45"/>
      <c r="G642" s="9" t="s">
        <v>2560</v>
      </c>
      <c r="N642" s="49" t="s">
        <v>1663</v>
      </c>
      <c r="O642" s="43">
        <v>44874</v>
      </c>
      <c r="P642" s="6"/>
      <c r="Q642" s="5"/>
      <c r="R642" s="5"/>
      <c r="S642" s="5"/>
    </row>
    <row r="643" spans="2:19" ht="16.5" customHeight="1" x14ac:dyDescent="0.2">
      <c r="B643" s="6">
        <v>497</v>
      </c>
      <c r="C643" s="6">
        <v>297</v>
      </c>
      <c r="D643" s="33" t="s">
        <v>2533</v>
      </c>
      <c r="E643" s="6"/>
      <c r="F643" s="45"/>
      <c r="G643" s="9" t="s">
        <v>2560</v>
      </c>
      <c r="N643" s="49" t="s">
        <v>1663</v>
      </c>
      <c r="O643" s="43">
        <v>44874</v>
      </c>
      <c r="P643" s="6"/>
      <c r="Q643" s="5"/>
      <c r="R643" s="5"/>
      <c r="S643" s="5"/>
    </row>
    <row r="644" spans="2:19" ht="16.5" customHeight="1" x14ac:dyDescent="0.2">
      <c r="B644" s="6">
        <v>498</v>
      </c>
      <c r="C644" s="6">
        <v>298</v>
      </c>
      <c r="D644" s="33" t="s">
        <v>2534</v>
      </c>
      <c r="E644" s="6"/>
      <c r="F644" s="45"/>
      <c r="G644" s="9" t="s">
        <v>2560</v>
      </c>
      <c r="N644" s="49" t="s">
        <v>1663</v>
      </c>
      <c r="O644" s="43">
        <v>44874</v>
      </c>
      <c r="P644" s="6"/>
      <c r="Q644" s="5"/>
      <c r="R644" s="5"/>
      <c r="S644" s="5"/>
    </row>
    <row r="645" spans="2:19" ht="16.5" customHeight="1" x14ac:dyDescent="0.2">
      <c r="B645" s="6">
        <v>518</v>
      </c>
      <c r="C645" s="6">
        <v>318</v>
      </c>
      <c r="D645" s="33" t="s">
        <v>2601</v>
      </c>
      <c r="E645" s="6"/>
      <c r="F645" s="45"/>
      <c r="G645" s="9"/>
      <c r="N645" s="49" t="s">
        <v>1663</v>
      </c>
      <c r="O645" s="43"/>
      <c r="P645" s="6"/>
      <c r="Q645" s="5"/>
      <c r="R645" s="5"/>
      <c r="S645" s="5"/>
    </row>
    <row r="646" spans="2:19" ht="16.5" customHeight="1" x14ac:dyDescent="0.2">
      <c r="B646" s="6">
        <v>519</v>
      </c>
      <c r="C646" s="6">
        <v>319</v>
      </c>
      <c r="D646" s="33" t="s">
        <v>2602</v>
      </c>
      <c r="E646" s="6"/>
      <c r="F646" s="45"/>
      <c r="G646" s="9"/>
      <c r="N646" s="49" t="s">
        <v>1663</v>
      </c>
      <c r="O646" s="43"/>
      <c r="P646" s="6"/>
      <c r="Q646" s="5"/>
      <c r="R646" s="5"/>
      <c r="S646" s="5"/>
    </row>
    <row r="647" spans="2:19" ht="16.5" customHeight="1" x14ac:dyDescent="0.2">
      <c r="B647" s="6">
        <v>520</v>
      </c>
      <c r="C647" s="6">
        <v>320</v>
      </c>
      <c r="D647" s="33" t="s">
        <v>2603</v>
      </c>
      <c r="E647" s="6"/>
      <c r="F647" s="45"/>
      <c r="G647" s="9"/>
      <c r="N647" s="49" t="s">
        <v>1663</v>
      </c>
      <c r="O647" s="43"/>
      <c r="P647" s="6"/>
      <c r="Q647" s="5"/>
      <c r="R647" s="5"/>
      <c r="S647" s="5"/>
    </row>
    <row r="648" spans="2:19" ht="16.5" customHeight="1" x14ac:dyDescent="0.2">
      <c r="B648" s="6">
        <v>530</v>
      </c>
      <c r="C648" s="6">
        <v>330</v>
      </c>
      <c r="D648" s="33" t="s">
        <v>2613</v>
      </c>
      <c r="E648" s="6"/>
      <c r="F648" s="45"/>
      <c r="G648" s="9"/>
      <c r="N648" s="49" t="s">
        <v>1663</v>
      </c>
      <c r="O648" s="43"/>
      <c r="P648" s="6"/>
      <c r="Q648" s="5"/>
      <c r="R648" s="5"/>
      <c r="S648" s="5"/>
    </row>
    <row r="649" spans="2:19" ht="16.5" customHeight="1" x14ac:dyDescent="0.2">
      <c r="B649" s="6">
        <v>531</v>
      </c>
      <c r="C649" s="6">
        <v>331</v>
      </c>
      <c r="D649" s="33" t="s">
        <v>2614</v>
      </c>
      <c r="E649" s="6"/>
      <c r="F649" s="45"/>
      <c r="G649" s="9"/>
      <c r="N649" s="49" t="s">
        <v>1663</v>
      </c>
      <c r="O649" s="43"/>
      <c r="P649" s="6"/>
      <c r="Q649" s="5"/>
      <c r="R649" s="5"/>
      <c r="S649" s="5"/>
    </row>
    <row r="650" spans="2:19" ht="16.5" customHeight="1" x14ac:dyDescent="0.2">
      <c r="B650" s="6">
        <v>532</v>
      </c>
      <c r="C650" s="6">
        <v>332</v>
      </c>
      <c r="D650" s="33" t="s">
        <v>2615</v>
      </c>
      <c r="E650" s="6"/>
      <c r="F650" s="45"/>
      <c r="G650" s="9"/>
      <c r="N650" s="49" t="s">
        <v>1663</v>
      </c>
      <c r="O650" s="43"/>
      <c r="P650" s="6"/>
      <c r="Q650" s="5"/>
      <c r="R650" s="5"/>
      <c r="S650" s="5"/>
    </row>
    <row r="651" spans="2:19" ht="16.5" customHeight="1" x14ac:dyDescent="0.2">
      <c r="B651" s="6">
        <v>573</v>
      </c>
      <c r="C651" s="6">
        <v>373</v>
      </c>
      <c r="D651" s="33" t="s">
        <v>2825</v>
      </c>
      <c r="E651" s="6"/>
      <c r="F651" s="45"/>
      <c r="G651" s="9"/>
      <c r="H651" s="33"/>
      <c r="I651" s="33"/>
      <c r="N651" s="49" t="s">
        <v>1663</v>
      </c>
      <c r="O651" s="43"/>
      <c r="P651" s="6"/>
      <c r="Q651" s="5"/>
      <c r="R651" s="5"/>
      <c r="S651" s="5"/>
    </row>
    <row r="652" spans="2:19" ht="16.5" customHeight="1" x14ac:dyDescent="0.2">
      <c r="B652" s="6">
        <v>574</v>
      </c>
      <c r="C652" s="6">
        <v>374</v>
      </c>
      <c r="D652" s="33" t="s">
        <v>2826</v>
      </c>
      <c r="E652" s="6"/>
      <c r="F652" s="45"/>
      <c r="G652" s="9"/>
      <c r="H652" s="33"/>
      <c r="I652" s="33"/>
      <c r="N652" s="49" t="s">
        <v>1663</v>
      </c>
      <c r="O652" s="43"/>
      <c r="P652" s="6"/>
      <c r="Q652" s="5"/>
      <c r="R652" s="5"/>
      <c r="S652" s="5"/>
    </row>
    <row r="653" spans="2:19" ht="16.5" customHeight="1" x14ac:dyDescent="0.2">
      <c r="B653" s="6">
        <v>575</v>
      </c>
      <c r="C653" s="6">
        <v>375</v>
      </c>
      <c r="D653" s="33" t="s">
        <v>2827</v>
      </c>
      <c r="E653" s="6"/>
      <c r="F653" s="45"/>
      <c r="G653" s="9"/>
      <c r="H653" s="33"/>
      <c r="I653" s="33"/>
      <c r="N653" s="49" t="s">
        <v>1663</v>
      </c>
      <c r="O653" s="43"/>
      <c r="P653" s="6"/>
      <c r="Q653" s="5"/>
      <c r="R653" s="5"/>
      <c r="S653" s="5"/>
    </row>
    <row r="654" spans="2:19" ht="16.5" customHeight="1" x14ac:dyDescent="0.2">
      <c r="B654" s="6">
        <v>576</v>
      </c>
      <c r="C654" s="6">
        <v>376</v>
      </c>
      <c r="D654" s="33" t="s">
        <v>2828</v>
      </c>
      <c r="E654" s="6"/>
      <c r="F654" s="45"/>
      <c r="G654" s="9"/>
      <c r="H654" s="33"/>
      <c r="I654" s="33"/>
      <c r="N654" s="49" t="s">
        <v>1663</v>
      </c>
      <c r="O654" s="43"/>
      <c r="P654" s="6"/>
      <c r="Q654" s="5"/>
      <c r="R654" s="5"/>
      <c r="S654" s="5"/>
    </row>
    <row r="655" spans="2:19" ht="16.5" customHeight="1" x14ac:dyDescent="0.2">
      <c r="B655" s="6">
        <v>577</v>
      </c>
      <c r="C655" s="6">
        <v>377</v>
      </c>
      <c r="D655" s="33" t="s">
        <v>2829</v>
      </c>
      <c r="E655" s="6"/>
      <c r="F655" s="45"/>
      <c r="G655" s="9"/>
      <c r="H655" s="33"/>
      <c r="I655" s="33"/>
      <c r="N655" s="49" t="s">
        <v>1663</v>
      </c>
      <c r="O655" s="43"/>
      <c r="P655" s="6"/>
      <c r="Q655" s="5"/>
      <c r="R655" s="5"/>
      <c r="S655" s="5"/>
    </row>
    <row r="656" spans="2:19" ht="16.5" customHeight="1" x14ac:dyDescent="0.2">
      <c r="B656" s="6">
        <v>578</v>
      </c>
      <c r="C656" s="6">
        <v>378</v>
      </c>
      <c r="D656" s="33" t="s">
        <v>2830</v>
      </c>
      <c r="E656" s="6"/>
      <c r="F656" s="45"/>
      <c r="G656" s="9"/>
      <c r="H656" s="33"/>
      <c r="I656" s="33"/>
      <c r="N656" s="49" t="s">
        <v>1663</v>
      </c>
      <c r="O656" s="43"/>
      <c r="P656" s="6"/>
      <c r="Q656" s="5"/>
      <c r="R656" s="5"/>
      <c r="S656" s="5"/>
    </row>
    <row r="657" spans="2:19" ht="16.5" customHeight="1" x14ac:dyDescent="0.2">
      <c r="B657" s="6">
        <v>903</v>
      </c>
      <c r="C657" s="6">
        <v>3</v>
      </c>
      <c r="D657" s="55" t="s">
        <v>1068</v>
      </c>
      <c r="E657" s="6" t="s">
        <v>915</v>
      </c>
      <c r="F657" s="6"/>
      <c r="G657" s="9" t="s">
        <v>2101</v>
      </c>
      <c r="J657" s="6" t="s">
        <v>2102</v>
      </c>
      <c r="K657" s="6" t="s">
        <v>1087</v>
      </c>
      <c r="L657" s="6" t="s">
        <v>1087</v>
      </c>
      <c r="M657" s="6" t="s">
        <v>2099</v>
      </c>
      <c r="N657" s="49" t="s">
        <v>2179</v>
      </c>
      <c r="O657" s="49" t="s">
        <v>2425</v>
      </c>
      <c r="P657" s="6"/>
      <c r="Q657" s="5"/>
      <c r="R657" s="5"/>
      <c r="S657" s="5"/>
    </row>
    <row r="658" spans="2:19" ht="16.5" customHeight="1" x14ac:dyDescent="0.2">
      <c r="D658" s="33"/>
      <c r="E658" s="6"/>
      <c r="F658" s="45"/>
      <c r="G658" s="9"/>
      <c r="N658" s="49"/>
      <c r="O658" s="43"/>
      <c r="P658" s="6"/>
      <c r="Q658" s="5"/>
      <c r="R658" s="5"/>
      <c r="S658" s="5"/>
    </row>
    <row r="659" spans="2:19" ht="16.5" customHeight="1" x14ac:dyDescent="0.2">
      <c r="D659" s="33"/>
      <c r="E659" s="6"/>
      <c r="F659" s="45"/>
      <c r="G659" s="9"/>
      <c r="N659" s="49"/>
      <c r="O659" s="43"/>
      <c r="P659" s="6"/>
      <c r="Q659" s="5"/>
      <c r="R659" s="5"/>
      <c r="S659" s="5"/>
    </row>
    <row r="660" spans="2:19" ht="16.5" customHeight="1" x14ac:dyDescent="0.2">
      <c r="D660" s="33"/>
      <c r="E660" s="6"/>
      <c r="F660" s="45"/>
      <c r="G660" s="9"/>
      <c r="N660" s="49"/>
      <c r="O660" s="43"/>
      <c r="P660" s="6"/>
      <c r="Q660" s="5"/>
      <c r="R660" s="5"/>
      <c r="S660" s="5"/>
    </row>
    <row r="661" spans="2:19" ht="16.5" customHeight="1" x14ac:dyDescent="0.2">
      <c r="D661" s="33"/>
      <c r="E661" s="6"/>
      <c r="F661" s="45"/>
      <c r="G661" s="9"/>
      <c r="N661" s="49"/>
      <c r="O661" s="43"/>
      <c r="P661" s="6"/>
      <c r="Q661" s="5"/>
      <c r="R661" s="5"/>
      <c r="S661" s="5"/>
    </row>
    <row r="662" spans="2:19" ht="16.5" customHeight="1" x14ac:dyDescent="0.2">
      <c r="D662" s="33"/>
      <c r="E662" s="6"/>
      <c r="F662" s="45"/>
      <c r="G662" s="9"/>
      <c r="N662" s="49"/>
      <c r="O662" s="43"/>
      <c r="P662" s="6"/>
      <c r="Q662" s="5"/>
      <c r="R662" s="5"/>
      <c r="S662" s="5"/>
    </row>
    <row r="663" spans="2:19" ht="16.5" customHeight="1" x14ac:dyDescent="0.2">
      <c r="D663" s="33"/>
      <c r="E663" s="6"/>
      <c r="F663" s="45"/>
      <c r="G663" s="9"/>
      <c r="N663" s="49"/>
      <c r="O663" s="43"/>
      <c r="P663" s="6"/>
      <c r="Q663" s="5"/>
      <c r="R663" s="5"/>
      <c r="S663" s="5"/>
    </row>
    <row r="664" spans="2:19" ht="16.5" customHeight="1" x14ac:dyDescent="0.2">
      <c r="D664" s="33"/>
      <c r="E664" s="6"/>
      <c r="F664" s="45"/>
      <c r="G664" s="9"/>
      <c r="N664" s="49"/>
      <c r="O664" s="43"/>
      <c r="P664" s="6"/>
      <c r="Q664" s="5"/>
      <c r="R664" s="5"/>
      <c r="S664" s="5"/>
    </row>
    <row r="665" spans="2:19" ht="16.5" customHeight="1" x14ac:dyDescent="0.2">
      <c r="D665" s="33"/>
      <c r="E665" s="6"/>
      <c r="F665" s="45"/>
      <c r="G665" s="9"/>
      <c r="N665" s="49"/>
      <c r="O665" s="43"/>
      <c r="P665" s="6"/>
      <c r="Q665" s="5"/>
      <c r="R665" s="5"/>
      <c r="S665" s="5"/>
    </row>
    <row r="666" spans="2:19" ht="16.5" customHeight="1" x14ac:dyDescent="0.2">
      <c r="D666" s="33"/>
      <c r="E666" s="6"/>
      <c r="F666" s="45"/>
      <c r="G666" s="9"/>
      <c r="N666" s="49"/>
      <c r="O666" s="43"/>
      <c r="P666" s="6"/>
      <c r="Q666" s="5"/>
      <c r="R666" s="5"/>
      <c r="S666" s="5"/>
    </row>
    <row r="667" spans="2:19" ht="16.5" customHeight="1" thickBot="1" x14ac:dyDescent="0.25">
      <c r="D667" s="33"/>
      <c r="E667" s="6"/>
      <c r="F667" s="45"/>
      <c r="G667" s="9"/>
      <c r="N667" s="49"/>
      <c r="O667" s="43"/>
      <c r="P667" s="6"/>
      <c r="Q667" s="5"/>
      <c r="R667" s="5"/>
      <c r="S667" s="5"/>
    </row>
    <row r="668" spans="2:19" ht="16.5" customHeight="1" x14ac:dyDescent="0.2">
      <c r="D668" s="33"/>
      <c r="E668" s="6"/>
      <c r="F668" s="45"/>
      <c r="G668" s="58"/>
      <c r="N668" s="49"/>
      <c r="O668" s="43"/>
      <c r="P668" s="6"/>
      <c r="Q668" s="5"/>
      <c r="R668" s="5"/>
      <c r="S668" s="5"/>
    </row>
    <row r="669" spans="2:19" ht="16.5" customHeight="1" x14ac:dyDescent="0.2">
      <c r="D669" s="33"/>
      <c r="E669" s="6"/>
      <c r="F669" s="45"/>
      <c r="G669" s="9"/>
      <c r="N669" s="49"/>
      <c r="O669" s="43"/>
      <c r="P669" s="6"/>
      <c r="Q669" s="5"/>
      <c r="R669" s="5"/>
      <c r="S669" s="5"/>
    </row>
    <row r="670" spans="2:19" ht="16.5" customHeight="1" x14ac:dyDescent="0.2">
      <c r="D670" s="33"/>
      <c r="E670" s="6"/>
      <c r="F670" s="45"/>
      <c r="G670" s="9"/>
      <c r="N670" s="49"/>
      <c r="O670" s="43"/>
      <c r="P670" s="6"/>
      <c r="Q670" s="5"/>
      <c r="R670" s="5"/>
      <c r="S670" s="5"/>
    </row>
    <row r="671" spans="2:19" ht="16.5" customHeight="1" x14ac:dyDescent="0.2">
      <c r="D671" s="33"/>
      <c r="E671" s="6"/>
      <c r="F671" s="45"/>
      <c r="G671" s="9"/>
      <c r="N671" s="49"/>
      <c r="O671" s="43"/>
      <c r="P671" s="6"/>
      <c r="Q671" s="5"/>
      <c r="R671" s="5"/>
      <c r="S671" s="5"/>
    </row>
    <row r="672" spans="2:19" ht="16.5" customHeight="1" x14ac:dyDescent="0.2">
      <c r="B672" t="s">
        <v>2032</v>
      </c>
      <c r="C672"/>
      <c r="D672"/>
      <c r="E672"/>
      <c r="F672"/>
      <c r="G672">
        <f>SUBTOTAL(103,Tabla3[Nombre])</f>
        <v>638</v>
      </c>
      <c r="H672"/>
      <c r="I672" s="5"/>
      <c r="J672"/>
      <c r="K672"/>
      <c r="L672"/>
      <c r="M672"/>
      <c r="N672"/>
      <c r="O672"/>
      <c r="P672"/>
      <c r="Q672">
        <f>SUBTOTAL(103,Tabla3[Arrendam])</f>
        <v>47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18BF-2451-465A-9526-E1D3F1F08AA7}">
  <dimension ref="A1:M20"/>
  <sheetViews>
    <sheetView workbookViewId="0">
      <selection sqref="A1:A20"/>
    </sheetView>
  </sheetViews>
  <sheetFormatPr baseColWidth="10" defaultRowHeight="15" x14ac:dyDescent="0.2"/>
  <sheetData>
    <row r="1" spans="1:13" x14ac:dyDescent="0.2">
      <c r="A1" s="34"/>
      <c r="B1" s="35" t="s">
        <v>757</v>
      </c>
      <c r="C1" s="35" t="s">
        <v>784</v>
      </c>
      <c r="D1" s="34"/>
      <c r="E1" s="36"/>
      <c r="F1" s="34"/>
      <c r="G1" s="34" t="s">
        <v>1091</v>
      </c>
      <c r="H1" s="34"/>
      <c r="I1" s="34"/>
      <c r="J1" s="34"/>
      <c r="K1" s="34" t="s">
        <v>804</v>
      </c>
      <c r="L1" s="34" t="s">
        <v>468</v>
      </c>
      <c r="M1" s="34"/>
    </row>
    <row r="2" spans="1:13" x14ac:dyDescent="0.2">
      <c r="A2" s="34"/>
      <c r="B2" s="35" t="s">
        <v>758</v>
      </c>
      <c r="C2" s="35" t="s">
        <v>785</v>
      </c>
      <c r="D2" s="34"/>
      <c r="E2" s="36"/>
      <c r="F2" s="34"/>
      <c r="G2" s="34"/>
      <c r="H2" s="34"/>
      <c r="I2" s="34"/>
      <c r="J2" s="34"/>
      <c r="K2" s="34" t="s">
        <v>804</v>
      </c>
      <c r="L2" s="34" t="s">
        <v>468</v>
      </c>
      <c r="M2" s="34"/>
    </row>
    <row r="3" spans="1:13" x14ac:dyDescent="0.2">
      <c r="A3" s="34"/>
      <c r="B3" s="35" t="s">
        <v>759</v>
      </c>
      <c r="C3" s="35" t="s">
        <v>786</v>
      </c>
      <c r="D3" s="34"/>
      <c r="E3" s="36"/>
      <c r="F3" s="34"/>
      <c r="G3" s="34"/>
      <c r="H3" s="34"/>
      <c r="I3" s="34"/>
      <c r="J3" s="34"/>
      <c r="K3" s="34" t="s">
        <v>804</v>
      </c>
      <c r="L3" s="34" t="s">
        <v>468</v>
      </c>
      <c r="M3" s="34"/>
    </row>
    <row r="4" spans="1:13" x14ac:dyDescent="0.2">
      <c r="A4" s="34"/>
      <c r="B4" s="35" t="s">
        <v>760</v>
      </c>
      <c r="C4" s="35" t="s">
        <v>787</v>
      </c>
      <c r="D4" s="34"/>
      <c r="E4" s="36"/>
      <c r="F4" s="34"/>
      <c r="G4" s="34"/>
      <c r="H4" s="34"/>
      <c r="I4" s="34"/>
      <c r="J4" s="34"/>
      <c r="K4" s="34" t="s">
        <v>804</v>
      </c>
      <c r="L4" s="34" t="s">
        <v>468</v>
      </c>
      <c r="M4" s="34"/>
    </row>
    <row r="5" spans="1:13" x14ac:dyDescent="0.2">
      <c r="A5" s="34"/>
      <c r="B5" s="35" t="s">
        <v>761</v>
      </c>
      <c r="C5" s="35" t="s">
        <v>788</v>
      </c>
      <c r="D5" s="34"/>
      <c r="E5" s="36"/>
      <c r="F5" s="34"/>
      <c r="G5" s="34"/>
      <c r="H5" s="34"/>
      <c r="I5" s="34"/>
      <c r="J5" s="34"/>
      <c r="K5" s="34" t="s">
        <v>804</v>
      </c>
      <c r="L5" s="34" t="s">
        <v>468</v>
      </c>
      <c r="M5" s="34"/>
    </row>
    <row r="6" spans="1:13" x14ac:dyDescent="0.2">
      <c r="A6" s="34"/>
      <c r="B6" s="35" t="s">
        <v>762</v>
      </c>
      <c r="C6" s="35" t="s">
        <v>789</v>
      </c>
      <c r="D6" s="34"/>
      <c r="E6" s="36"/>
      <c r="F6" s="34"/>
      <c r="G6" s="34"/>
      <c r="H6" s="34"/>
      <c r="I6" s="34"/>
      <c r="J6" s="34"/>
      <c r="K6" s="34" t="s">
        <v>804</v>
      </c>
      <c r="L6" s="34" t="s">
        <v>468</v>
      </c>
      <c r="M6" s="34"/>
    </row>
    <row r="7" spans="1:13" x14ac:dyDescent="0.2">
      <c r="A7" s="34"/>
      <c r="B7" s="35" t="s">
        <v>763</v>
      </c>
      <c r="C7" s="35" t="s">
        <v>790</v>
      </c>
      <c r="D7" s="34"/>
      <c r="E7" s="36"/>
      <c r="F7" s="34"/>
      <c r="G7" s="34"/>
      <c r="H7" s="34"/>
      <c r="I7" s="34"/>
      <c r="J7" s="34"/>
      <c r="K7" s="34" t="s">
        <v>804</v>
      </c>
      <c r="L7" s="34" t="s">
        <v>468</v>
      </c>
      <c r="M7" s="34"/>
    </row>
    <row r="8" spans="1:13" x14ac:dyDescent="0.2">
      <c r="A8" s="34"/>
      <c r="B8" s="35" t="s">
        <v>764</v>
      </c>
      <c r="C8" s="35" t="s">
        <v>791</v>
      </c>
      <c r="D8" s="34"/>
      <c r="E8" s="36"/>
      <c r="F8" s="34"/>
      <c r="G8" s="34"/>
      <c r="H8" s="34"/>
      <c r="I8" s="34"/>
      <c r="J8" s="34"/>
      <c r="K8" s="34" t="s">
        <v>804</v>
      </c>
      <c r="L8" s="34" t="s">
        <v>468</v>
      </c>
      <c r="M8" s="34"/>
    </row>
    <row r="9" spans="1:13" x14ac:dyDescent="0.2">
      <c r="A9" s="34"/>
      <c r="B9" s="35" t="s">
        <v>765</v>
      </c>
      <c r="C9" s="35" t="s">
        <v>792</v>
      </c>
      <c r="D9" s="34"/>
      <c r="E9" s="36"/>
      <c r="F9" s="34"/>
      <c r="G9" s="34"/>
      <c r="H9" s="34"/>
      <c r="I9" s="34"/>
      <c r="J9" s="34"/>
      <c r="K9" s="34" t="s">
        <v>804</v>
      </c>
      <c r="L9" s="34" t="s">
        <v>468</v>
      </c>
      <c r="M9" s="34"/>
    </row>
    <row r="10" spans="1:13" x14ac:dyDescent="0.2">
      <c r="A10" s="34"/>
      <c r="B10" s="35" t="s">
        <v>766</v>
      </c>
      <c r="C10" s="35" t="s">
        <v>793</v>
      </c>
      <c r="D10" s="34"/>
      <c r="E10" s="36"/>
      <c r="F10" s="34"/>
      <c r="G10" s="34"/>
      <c r="H10" s="34"/>
      <c r="I10" s="34"/>
      <c r="J10" s="34"/>
      <c r="K10" s="34" t="s">
        <v>804</v>
      </c>
      <c r="L10" s="34" t="s">
        <v>468</v>
      </c>
      <c r="M10" s="34"/>
    </row>
    <row r="11" spans="1:13" x14ac:dyDescent="0.2">
      <c r="A11" s="34"/>
      <c r="B11" s="35" t="s">
        <v>767</v>
      </c>
      <c r="C11" s="35" t="s">
        <v>794</v>
      </c>
      <c r="D11" s="34"/>
      <c r="E11" s="36"/>
      <c r="F11" s="34"/>
      <c r="G11" s="34"/>
      <c r="H11" s="34"/>
      <c r="I11" s="34"/>
      <c r="J11" s="34"/>
      <c r="K11" s="34" t="s">
        <v>804</v>
      </c>
      <c r="L11" s="34" t="s">
        <v>468</v>
      </c>
      <c r="M11" s="34"/>
    </row>
    <row r="12" spans="1:13" x14ac:dyDescent="0.2">
      <c r="A12" s="34"/>
      <c r="B12" s="35" t="s">
        <v>768</v>
      </c>
      <c r="C12" s="35" t="s">
        <v>795</v>
      </c>
      <c r="D12" s="34"/>
      <c r="E12" s="36"/>
      <c r="F12" s="34"/>
      <c r="G12" s="34"/>
      <c r="H12" s="34"/>
      <c r="I12" s="34"/>
      <c r="J12" s="34"/>
      <c r="K12" s="34" t="s">
        <v>804</v>
      </c>
      <c r="L12" s="34" t="s">
        <v>468</v>
      </c>
      <c r="M12" s="34"/>
    </row>
    <row r="13" spans="1:13" x14ac:dyDescent="0.2">
      <c r="A13" s="34"/>
      <c r="B13" s="35" t="s">
        <v>769</v>
      </c>
      <c r="C13" s="35" t="s">
        <v>796</v>
      </c>
      <c r="D13" s="34"/>
      <c r="E13" s="36"/>
      <c r="F13" s="34"/>
      <c r="G13" s="34"/>
      <c r="H13" s="34"/>
      <c r="I13" s="34"/>
      <c r="J13" s="34"/>
      <c r="K13" s="34" t="s">
        <v>804</v>
      </c>
      <c r="L13" s="34" t="s">
        <v>468</v>
      </c>
      <c r="M13" s="34"/>
    </row>
    <row r="14" spans="1:13" x14ac:dyDescent="0.2">
      <c r="A14" s="34"/>
      <c r="B14" s="35" t="s">
        <v>770</v>
      </c>
      <c r="C14" s="35" t="s">
        <v>797</v>
      </c>
      <c r="D14" s="34"/>
      <c r="E14" s="36"/>
      <c r="F14" s="34"/>
      <c r="G14" s="34"/>
      <c r="H14" s="34"/>
      <c r="I14" s="34"/>
      <c r="J14" s="34"/>
      <c r="K14" s="34" t="s">
        <v>804</v>
      </c>
      <c r="L14" s="34" t="s">
        <v>468</v>
      </c>
      <c r="M14" s="34"/>
    </row>
    <row r="15" spans="1:13" x14ac:dyDescent="0.2">
      <c r="A15" s="34"/>
      <c r="B15" s="35" t="s">
        <v>771</v>
      </c>
      <c r="C15" s="35" t="s">
        <v>798</v>
      </c>
      <c r="D15" s="34"/>
      <c r="E15" s="36"/>
      <c r="F15" s="34"/>
      <c r="G15" s="34"/>
      <c r="H15" s="34"/>
      <c r="I15" s="34"/>
      <c r="J15" s="34"/>
      <c r="K15" s="34" t="s">
        <v>804</v>
      </c>
      <c r="L15" s="34" t="s">
        <v>468</v>
      </c>
      <c r="M15" s="34"/>
    </row>
    <row r="16" spans="1:13" x14ac:dyDescent="0.2">
      <c r="A16" s="34"/>
      <c r="B16" s="35" t="s">
        <v>772</v>
      </c>
      <c r="C16" s="35" t="s">
        <v>799</v>
      </c>
      <c r="D16" s="34"/>
      <c r="E16" s="36"/>
      <c r="F16" s="34"/>
      <c r="G16" s="34"/>
      <c r="H16" s="34"/>
      <c r="I16" s="34"/>
      <c r="J16" s="34"/>
      <c r="K16" s="34" t="s">
        <v>804</v>
      </c>
      <c r="L16" s="34" t="s">
        <v>468</v>
      </c>
      <c r="M16" s="34"/>
    </row>
    <row r="17" spans="1:13" x14ac:dyDescent="0.2">
      <c r="A17" s="34"/>
      <c r="B17" s="35" t="s">
        <v>773</v>
      </c>
      <c r="C17" s="35" t="s">
        <v>800</v>
      </c>
      <c r="D17" s="34"/>
      <c r="E17" s="36"/>
      <c r="F17" s="34"/>
      <c r="G17" s="34"/>
      <c r="H17" s="34"/>
      <c r="I17" s="34"/>
      <c r="J17" s="34"/>
      <c r="K17" s="34" t="s">
        <v>804</v>
      </c>
      <c r="L17" s="34" t="s">
        <v>468</v>
      </c>
      <c r="M17" s="34"/>
    </row>
    <row r="18" spans="1:13" x14ac:dyDescent="0.2">
      <c r="A18" s="34"/>
      <c r="B18" s="35" t="s">
        <v>774</v>
      </c>
      <c r="C18" s="35" t="s">
        <v>801</v>
      </c>
      <c r="D18" s="34"/>
      <c r="E18" s="36"/>
      <c r="F18" s="34"/>
      <c r="G18" s="34"/>
      <c r="H18" s="34"/>
      <c r="I18" s="34"/>
      <c r="J18" s="34"/>
      <c r="K18" s="34" t="s">
        <v>804</v>
      </c>
      <c r="L18" s="34" t="s">
        <v>468</v>
      </c>
      <c r="M18" s="34"/>
    </row>
    <row r="19" spans="1:13" x14ac:dyDescent="0.2">
      <c r="A19" s="34"/>
      <c r="B19" s="35" t="s">
        <v>775</v>
      </c>
      <c r="C19" s="35" t="s">
        <v>802</v>
      </c>
      <c r="D19" s="34"/>
      <c r="E19" s="36"/>
      <c r="F19" s="34"/>
      <c r="G19" s="34"/>
      <c r="H19" s="34"/>
      <c r="I19" s="34"/>
      <c r="J19" s="34"/>
      <c r="K19" s="34" t="s">
        <v>804</v>
      </c>
      <c r="L19" s="34" t="s">
        <v>468</v>
      </c>
      <c r="M19" s="34"/>
    </row>
    <row r="20" spans="1:13" x14ac:dyDescent="0.2">
      <c r="A20" s="34"/>
      <c r="B20" s="35" t="s">
        <v>776</v>
      </c>
      <c r="C20" s="35" t="s">
        <v>803</v>
      </c>
      <c r="D20" s="34"/>
      <c r="E20" s="36"/>
      <c r="F20" s="34"/>
      <c r="G20" s="34"/>
      <c r="H20" s="34"/>
      <c r="I20" s="34"/>
      <c r="J20" s="34"/>
      <c r="K20" s="34" t="s">
        <v>804</v>
      </c>
      <c r="L20" s="34" t="s">
        <v>468</v>
      </c>
      <c r="M20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AC7F-3470-4068-83B5-2C869D3B3759}">
  <sheetPr codeName="Hoja2"/>
  <dimension ref="B3:J11"/>
  <sheetViews>
    <sheetView workbookViewId="0">
      <selection activeCell="E11" sqref="E11"/>
    </sheetView>
  </sheetViews>
  <sheetFormatPr baseColWidth="10" defaultRowHeight="15" x14ac:dyDescent="0.2"/>
  <cols>
    <col min="2" max="2" width="12.5" customWidth="1"/>
    <col min="4" max="4" width="11.83203125" bestFit="1" customWidth="1"/>
    <col min="5" max="5" width="15.6640625" customWidth="1"/>
  </cols>
  <sheetData>
    <row r="3" spans="2:10" x14ac:dyDescent="0.2">
      <c r="B3" t="s">
        <v>1051</v>
      </c>
      <c r="C3" t="s">
        <v>1052</v>
      </c>
      <c r="D3" t="s">
        <v>1054</v>
      </c>
      <c r="E3" t="s">
        <v>1053</v>
      </c>
    </row>
    <row r="4" spans="2:10" x14ac:dyDescent="0.2">
      <c r="B4" t="s">
        <v>468</v>
      </c>
      <c r="C4" s="30">
        <v>8000</v>
      </c>
      <c r="D4">
        <f>COUNTIF(Principal!M:M,Costos!B4)</f>
        <v>0</v>
      </c>
      <c r="E4" s="30" t="e">
        <f t="shared" ref="E4:E11" si="0">C4/D4</f>
        <v>#DIV/0!</v>
      </c>
    </row>
    <row r="5" spans="2:10" x14ac:dyDescent="0.2">
      <c r="B5" t="s">
        <v>892</v>
      </c>
      <c r="C5" s="30">
        <v>0</v>
      </c>
      <c r="D5">
        <f>COUNTIF(Principal!M:M,Costos!B5)</f>
        <v>0</v>
      </c>
      <c r="E5" s="30" t="e">
        <f t="shared" si="0"/>
        <v>#DIV/0!</v>
      </c>
    </row>
    <row r="6" spans="2:10" x14ac:dyDescent="0.2">
      <c r="B6" t="s">
        <v>472</v>
      </c>
      <c r="C6" s="30">
        <v>2100</v>
      </c>
      <c r="D6">
        <f>COUNTIF(Principal!M:M,Costos!B6)</f>
        <v>0</v>
      </c>
      <c r="E6" s="30" t="e">
        <f t="shared" si="0"/>
        <v>#DIV/0!</v>
      </c>
    </row>
    <row r="7" spans="2:10" x14ac:dyDescent="0.2">
      <c r="B7" t="s">
        <v>679</v>
      </c>
      <c r="C7" s="30">
        <v>200</v>
      </c>
      <c r="D7">
        <f>COUNTIF(Principal!M:M,Costos!B7)</f>
        <v>0</v>
      </c>
      <c r="E7" s="30" t="e">
        <f t="shared" si="0"/>
        <v>#DIV/0!</v>
      </c>
    </row>
    <row r="8" spans="2:10" x14ac:dyDescent="0.2">
      <c r="B8" t="s">
        <v>576</v>
      </c>
      <c r="C8" s="30">
        <v>1800</v>
      </c>
      <c r="D8">
        <f>COUNTIF(Principal!M:M,Costos!B8)</f>
        <v>0</v>
      </c>
      <c r="E8" s="30" t="e">
        <f t="shared" si="0"/>
        <v>#DIV/0!</v>
      </c>
    </row>
    <row r="9" spans="2:10" x14ac:dyDescent="0.2">
      <c r="B9" t="s">
        <v>885</v>
      </c>
      <c r="C9" s="30">
        <f ca="1">80*J9</f>
        <v>1692.44</v>
      </c>
      <c r="D9">
        <f>COUNTIF(Principal!M:M,Costos!B9)</f>
        <v>0</v>
      </c>
      <c r="E9" s="30" t="e">
        <f t="shared" ca="1" si="0"/>
        <v>#DIV/0!</v>
      </c>
      <c r="I9" t="e" vm="1">
        <v>#VALUE!</v>
      </c>
      <c r="J9" s="32" cm="1">
        <f t="array" aca="1" ref="J9" ca="1">_FV(I9,"Cierre anterior",TRUE)</f>
        <v>21.1555</v>
      </c>
    </row>
    <row r="10" spans="2:10" x14ac:dyDescent="0.2">
      <c r="B10" t="s">
        <v>469</v>
      </c>
      <c r="C10" s="30">
        <f ca="1">940*J10</f>
        <v>16882.400000000001</v>
      </c>
      <c r="D10">
        <f>COUNTIF(Principal!L:L,Costos!B10)</f>
        <v>0</v>
      </c>
      <c r="E10" s="30" t="e">
        <f t="shared" ca="1" si="0"/>
        <v>#DIV/0!</v>
      </c>
      <c r="I10" t="e" vm="2">
        <v>#VALUE!</v>
      </c>
      <c r="J10" s="32" cm="1">
        <f t="array" aca="1" ref="J10" ca="1">_FV(I10,"Cierre anterior",TRUE)</f>
        <v>17.96</v>
      </c>
    </row>
    <row r="11" spans="2:10" x14ac:dyDescent="0.2">
      <c r="B11" t="s">
        <v>1056</v>
      </c>
      <c r="C11" s="30">
        <v>320</v>
      </c>
      <c r="D11">
        <f>COUNTIF(Principal!L:L,Costos!B11)</f>
        <v>3</v>
      </c>
      <c r="E11" s="30">
        <f t="shared" si="0"/>
        <v>106.66666666666667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 macro="[0]!AddRowToMonthlyReport">
                <anchor moveWithCells="1" sizeWithCells="1">
                  <from>
                    <xdr:col>1</xdr:col>
                    <xdr:colOff>698500</xdr:colOff>
                    <xdr:row>12</xdr:row>
                    <xdr:rowOff>114300</xdr:rowOff>
                  </from>
                  <to>
                    <xdr:col>4</xdr:col>
                    <xdr:colOff>914400</xdr:colOff>
                    <xdr:row>16</xdr:row>
                    <xdr:rowOff>139700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393B-80B4-4FCF-BA35-5D0DF83100D4}">
  <sheetPr codeName="Hoja3"/>
  <dimension ref="A1:D10"/>
  <sheetViews>
    <sheetView workbookViewId="0">
      <selection activeCell="B17" sqref="B17"/>
    </sheetView>
  </sheetViews>
  <sheetFormatPr baseColWidth="10" defaultRowHeight="15" x14ac:dyDescent="0.2"/>
  <cols>
    <col min="1" max="1" width="11.83203125" bestFit="1" customWidth="1"/>
    <col min="2" max="2" width="12.5" customWidth="1"/>
    <col min="4" max="4" width="15.6640625" customWidth="1"/>
  </cols>
  <sheetData>
    <row r="1" spans="1:4" x14ac:dyDescent="0.2">
      <c r="A1" t="s">
        <v>1055</v>
      </c>
      <c r="B1" t="s">
        <v>1051</v>
      </c>
      <c r="C1" t="s">
        <v>1054</v>
      </c>
      <c r="D1" t="s">
        <v>1053</v>
      </c>
    </row>
    <row r="2" spans="1:4" x14ac:dyDescent="0.2">
      <c r="A2" s="31">
        <v>44347</v>
      </c>
      <c r="B2" t="s">
        <v>1056</v>
      </c>
      <c r="C2">
        <v>8</v>
      </c>
      <c r="D2">
        <v>40</v>
      </c>
    </row>
    <row r="3" spans="1:4" x14ac:dyDescent="0.2">
      <c r="A3" s="31">
        <v>44347</v>
      </c>
      <c r="B3" t="s">
        <v>469</v>
      </c>
      <c r="C3">
        <v>329</v>
      </c>
      <c r="D3">
        <v>56.98885714285715</v>
      </c>
    </row>
    <row r="4" spans="1:4" x14ac:dyDescent="0.2">
      <c r="A4" s="31">
        <v>44347</v>
      </c>
      <c r="B4" t="s">
        <v>885</v>
      </c>
      <c r="C4">
        <v>53</v>
      </c>
      <c r="D4">
        <v>36.806188679245281</v>
      </c>
    </row>
    <row r="5" spans="1:4" x14ac:dyDescent="0.2">
      <c r="A5" s="31">
        <v>44347</v>
      </c>
      <c r="B5" t="s">
        <v>576</v>
      </c>
      <c r="C5">
        <v>43</v>
      </c>
      <c r="D5">
        <v>41.860465116279073</v>
      </c>
    </row>
    <row r="6" spans="1:4" x14ac:dyDescent="0.2">
      <c r="A6" s="31">
        <v>44347</v>
      </c>
      <c r="B6" t="s">
        <v>679</v>
      </c>
      <c r="C6">
        <v>10</v>
      </c>
      <c r="D6">
        <v>20</v>
      </c>
    </row>
    <row r="7" spans="1:4" x14ac:dyDescent="0.2">
      <c r="A7" s="31">
        <v>44347</v>
      </c>
      <c r="B7" t="s">
        <v>472</v>
      </c>
      <c r="C7">
        <v>40</v>
      </c>
      <c r="D7">
        <v>52.5</v>
      </c>
    </row>
    <row r="8" spans="1:4" x14ac:dyDescent="0.2">
      <c r="A8" s="31">
        <v>44347</v>
      </c>
      <c r="B8" t="s">
        <v>892</v>
      </c>
      <c r="C8">
        <v>1</v>
      </c>
      <c r="D8">
        <v>0</v>
      </c>
    </row>
    <row r="9" spans="1:4" x14ac:dyDescent="0.2">
      <c r="A9" s="31">
        <v>44347</v>
      </c>
      <c r="B9" t="s">
        <v>468</v>
      </c>
      <c r="C9">
        <v>220</v>
      </c>
      <c r="D9">
        <v>36.363636363636367</v>
      </c>
    </row>
    <row r="10" spans="1:4" x14ac:dyDescent="0.2">
      <c r="A10" s="3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36A5-CD8C-4F45-AC32-59B011C46BF6}">
  <sheetPr codeName="Hoja4"/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5BFA-0380-4243-B967-6C63801066A9}">
  <sheetPr codeName="Hoja5"/>
  <dimension ref="A1:AX8"/>
  <sheetViews>
    <sheetView workbookViewId="0">
      <selection activeCell="M7" sqref="A7:M8"/>
    </sheetView>
  </sheetViews>
  <sheetFormatPr baseColWidth="10" defaultRowHeight="15" x14ac:dyDescent="0.2"/>
  <cols>
    <col min="1" max="1" width="6.83203125" bestFit="1" customWidth="1"/>
    <col min="2" max="2" width="19.1640625" customWidth="1"/>
    <col min="3" max="4" width="17.5" bestFit="1" customWidth="1"/>
    <col min="5" max="5" width="36.1640625" bestFit="1" customWidth="1"/>
    <col min="6" max="6" width="15.5" customWidth="1"/>
    <col min="7" max="7" width="15.6640625" customWidth="1"/>
    <col min="8" max="8" width="18" bestFit="1" customWidth="1"/>
    <col min="9" max="9" width="42" bestFit="1" customWidth="1"/>
    <col min="10" max="10" width="18.5" bestFit="1" customWidth="1"/>
    <col min="11" max="11" width="11.83203125" bestFit="1" customWidth="1"/>
    <col min="12" max="12" width="9.1640625" bestFit="1" customWidth="1"/>
    <col min="13" max="13" width="10.1640625" bestFit="1" customWidth="1"/>
  </cols>
  <sheetData>
    <row r="1" spans="1:50" ht="16.5" customHeight="1" x14ac:dyDescent="0.2">
      <c r="A1" s="6" t="s">
        <v>470</v>
      </c>
      <c r="B1" s="6" t="s">
        <v>0</v>
      </c>
      <c r="C1" s="6" t="s">
        <v>1</v>
      </c>
      <c r="D1" s="6" t="s">
        <v>2</v>
      </c>
      <c r="E1" s="9" t="s">
        <v>3</v>
      </c>
      <c r="F1" s="6" t="s">
        <v>4</v>
      </c>
      <c r="G1" s="6" t="s">
        <v>2</v>
      </c>
      <c r="H1" s="6" t="s">
        <v>409</v>
      </c>
      <c r="I1" s="6" t="s">
        <v>408</v>
      </c>
      <c r="J1" s="6" t="s">
        <v>410</v>
      </c>
      <c r="K1" s="6" t="s">
        <v>420</v>
      </c>
      <c r="L1" s="6"/>
      <c r="M1" s="6" t="s">
        <v>821</v>
      </c>
      <c r="N1" s="5"/>
      <c r="O1" s="5"/>
      <c r="P1" s="5"/>
      <c r="Q1" s="5"/>
    </row>
    <row r="2" spans="1:50" s="4" customFormat="1" ht="16.5" customHeight="1" x14ac:dyDescent="0.2">
      <c r="A2" s="7">
        <v>24</v>
      </c>
      <c r="B2" s="7" t="s">
        <v>928</v>
      </c>
      <c r="C2" s="7" t="s">
        <v>929</v>
      </c>
      <c r="D2" s="7">
        <v>205475498</v>
      </c>
      <c r="E2" s="7" t="s">
        <v>134</v>
      </c>
      <c r="F2" s="7">
        <v>205475498</v>
      </c>
      <c r="G2" s="7" t="s">
        <v>136</v>
      </c>
      <c r="H2" s="7" t="s">
        <v>7</v>
      </c>
      <c r="I2" s="7" t="s">
        <v>888</v>
      </c>
      <c r="J2" s="7" t="s">
        <v>541</v>
      </c>
      <c r="K2" s="7" t="s">
        <v>603</v>
      </c>
      <c r="L2" s="7" t="s">
        <v>468</v>
      </c>
      <c r="M2" s="7">
        <v>1</v>
      </c>
      <c r="N2" s="5"/>
      <c r="O2" s="5"/>
      <c r="P2" s="5"/>
      <c r="Q2" s="5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0" ht="16.5" customHeight="1" x14ac:dyDescent="0.2">
      <c r="A3" s="7">
        <v>38</v>
      </c>
      <c r="B3" s="7" t="s">
        <v>930</v>
      </c>
      <c r="C3" s="7" t="s">
        <v>931</v>
      </c>
      <c r="D3" s="7" t="s">
        <v>197</v>
      </c>
      <c r="E3" s="7" t="s">
        <v>724</v>
      </c>
      <c r="F3" s="7" t="s">
        <v>197</v>
      </c>
      <c r="G3" s="7" t="s">
        <v>197</v>
      </c>
      <c r="H3" s="7" t="s">
        <v>7</v>
      </c>
      <c r="I3" s="7" t="s">
        <v>888</v>
      </c>
      <c r="J3" s="7" t="s">
        <v>540</v>
      </c>
      <c r="K3" s="7" t="s">
        <v>603</v>
      </c>
      <c r="L3" s="7" t="s">
        <v>468</v>
      </c>
      <c r="M3" s="7">
        <v>1</v>
      </c>
      <c r="N3" s="5"/>
      <c r="O3" s="5"/>
      <c r="P3" s="5"/>
      <c r="Q3" s="5"/>
    </row>
    <row r="4" spans="1:50" ht="16.5" customHeight="1" x14ac:dyDescent="0.2">
      <c r="A4" s="7">
        <v>39</v>
      </c>
      <c r="B4" s="7" t="s">
        <v>932</v>
      </c>
      <c r="C4" s="7" t="s">
        <v>933</v>
      </c>
      <c r="D4" s="7" t="s">
        <v>195</v>
      </c>
      <c r="E4" s="7" t="s">
        <v>194</v>
      </c>
      <c r="F4" s="26"/>
      <c r="G4" s="7" t="s">
        <v>195</v>
      </c>
      <c r="H4" s="7" t="s">
        <v>7</v>
      </c>
      <c r="I4" s="7" t="s">
        <v>888</v>
      </c>
      <c r="J4" s="7" t="s">
        <v>540</v>
      </c>
      <c r="K4" s="7" t="s">
        <v>603</v>
      </c>
      <c r="L4" s="7" t="s">
        <v>468</v>
      </c>
      <c r="M4" s="7">
        <v>1</v>
      </c>
      <c r="N4" s="5"/>
      <c r="O4" s="5"/>
      <c r="P4" s="5"/>
      <c r="Q4" s="5"/>
    </row>
    <row r="5" spans="1:50" ht="16.5" customHeight="1" x14ac:dyDescent="0.2">
      <c r="A5" s="7">
        <v>40</v>
      </c>
      <c r="B5" s="7" t="s">
        <v>934</v>
      </c>
      <c r="C5" s="7" t="s">
        <v>935</v>
      </c>
      <c r="D5" s="7" t="s">
        <v>214</v>
      </c>
      <c r="E5" s="7" t="s">
        <v>213</v>
      </c>
      <c r="F5" s="7" t="s">
        <v>214</v>
      </c>
      <c r="G5" s="7" t="s">
        <v>214</v>
      </c>
      <c r="H5" s="7" t="s">
        <v>7</v>
      </c>
      <c r="I5" s="7" t="s">
        <v>888</v>
      </c>
      <c r="J5" s="7" t="s">
        <v>540</v>
      </c>
      <c r="K5" s="7" t="s">
        <v>603</v>
      </c>
      <c r="L5" s="7" t="s">
        <v>468</v>
      </c>
      <c r="M5" s="7">
        <v>1</v>
      </c>
      <c r="N5" s="5"/>
      <c r="O5" s="5"/>
      <c r="P5" s="5"/>
      <c r="Q5" s="5"/>
    </row>
    <row r="7" spans="1:50" x14ac:dyDescent="0.2">
      <c r="A7" s="7">
        <v>255</v>
      </c>
      <c r="B7" s="27">
        <v>3781165092</v>
      </c>
      <c r="C7" s="27">
        <v>3781165092</v>
      </c>
      <c r="D7" s="28" t="s">
        <v>477</v>
      </c>
      <c r="E7" s="29" t="s">
        <v>716</v>
      </c>
      <c r="F7" s="28" t="s">
        <v>477</v>
      </c>
      <c r="G7" s="29"/>
      <c r="H7" s="29" t="s">
        <v>542</v>
      </c>
      <c r="I7" s="7" t="s">
        <v>888</v>
      </c>
      <c r="J7" s="7" t="s">
        <v>603</v>
      </c>
      <c r="K7" s="29" t="s">
        <v>603</v>
      </c>
      <c r="L7" s="29" t="s">
        <v>472</v>
      </c>
      <c r="M7" s="7">
        <v>1</v>
      </c>
    </row>
    <row r="8" spans="1:50" x14ac:dyDescent="0.2">
      <c r="A8" s="7">
        <v>286</v>
      </c>
      <c r="B8" s="27">
        <v>3339561883</v>
      </c>
      <c r="C8" s="27">
        <v>3339561883</v>
      </c>
      <c r="D8" s="28" t="s">
        <v>508</v>
      </c>
      <c r="E8" s="29" t="s">
        <v>510</v>
      </c>
      <c r="F8" s="28" t="s">
        <v>509</v>
      </c>
      <c r="G8" s="29"/>
      <c r="H8" s="29" t="s">
        <v>547</v>
      </c>
      <c r="I8" s="7" t="s">
        <v>888</v>
      </c>
      <c r="J8" s="7" t="s">
        <v>603</v>
      </c>
      <c r="K8" s="7" t="s">
        <v>603</v>
      </c>
      <c r="L8" s="29" t="s">
        <v>472</v>
      </c>
      <c r="M8" s="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J221"/>
  <sheetViews>
    <sheetView topLeftCell="B193" workbookViewId="0">
      <selection activeCell="C212" sqref="C212:D221"/>
    </sheetView>
  </sheetViews>
  <sheetFormatPr baseColWidth="10" defaultRowHeight="15" x14ac:dyDescent="0.2"/>
  <cols>
    <col min="1" max="1" width="42.5" bestFit="1" customWidth="1"/>
    <col min="2" max="3" width="16.1640625" bestFit="1" customWidth="1"/>
    <col min="4" max="4" width="20.33203125" bestFit="1" customWidth="1"/>
    <col min="5" max="5" width="22.33203125" bestFit="1" customWidth="1"/>
    <col min="6" max="6" width="42.5" bestFit="1" customWidth="1"/>
    <col min="7" max="7" width="22.33203125" bestFit="1" customWidth="1"/>
  </cols>
  <sheetData>
    <row r="1" spans="1:10" x14ac:dyDescent="0.2">
      <c r="A1" t="s">
        <v>468</v>
      </c>
      <c r="F1" t="s">
        <v>469</v>
      </c>
    </row>
    <row r="2" spans="1:10" x14ac:dyDescent="0.2">
      <c r="A2" t="s">
        <v>125</v>
      </c>
      <c r="B2" t="s">
        <v>128</v>
      </c>
      <c r="C2" t="s">
        <v>128</v>
      </c>
      <c r="D2" t="s">
        <v>7</v>
      </c>
      <c r="E2" t="s">
        <v>126</v>
      </c>
      <c r="F2" t="s">
        <v>125</v>
      </c>
      <c r="G2" t="s">
        <v>126</v>
      </c>
      <c r="H2" t="s">
        <v>127</v>
      </c>
      <c r="I2" t="s">
        <v>7</v>
      </c>
      <c r="J2" t="s">
        <v>128</v>
      </c>
    </row>
    <row r="3" spans="1:10" x14ac:dyDescent="0.2">
      <c r="A3" t="s">
        <v>339</v>
      </c>
      <c r="B3" t="s">
        <v>340</v>
      </c>
      <c r="C3" t="s">
        <v>340</v>
      </c>
      <c r="D3" t="s">
        <v>331</v>
      </c>
      <c r="E3" t="s">
        <v>216</v>
      </c>
      <c r="F3" t="s">
        <v>339</v>
      </c>
      <c r="G3" t="s">
        <v>216</v>
      </c>
      <c r="H3" t="s">
        <v>216</v>
      </c>
      <c r="I3" t="s">
        <v>331</v>
      </c>
      <c r="J3" t="s">
        <v>340</v>
      </c>
    </row>
    <row r="4" spans="1:10" x14ac:dyDescent="0.2">
      <c r="A4" s="3"/>
      <c r="B4" s="3"/>
      <c r="C4" s="3"/>
      <c r="D4" s="3"/>
      <c r="E4" s="3"/>
      <c r="F4" t="s">
        <v>422</v>
      </c>
      <c r="G4" t="s">
        <v>216</v>
      </c>
      <c r="H4" t="s">
        <v>216</v>
      </c>
      <c r="I4" t="s">
        <v>423</v>
      </c>
      <c r="J4" t="s">
        <v>424</v>
      </c>
    </row>
    <row r="5" spans="1:10" x14ac:dyDescent="0.2">
      <c r="A5" t="s">
        <v>330</v>
      </c>
      <c r="B5" t="s">
        <v>332</v>
      </c>
      <c r="C5" t="s">
        <v>332</v>
      </c>
      <c r="D5" t="s">
        <v>331</v>
      </c>
      <c r="E5" t="s">
        <v>216</v>
      </c>
      <c r="F5" t="s">
        <v>330</v>
      </c>
      <c r="G5" t="s">
        <v>216</v>
      </c>
      <c r="H5" t="s">
        <v>216</v>
      </c>
      <c r="I5" t="s">
        <v>331</v>
      </c>
      <c r="J5" t="s">
        <v>332</v>
      </c>
    </row>
    <row r="6" spans="1:10" x14ac:dyDescent="0.2">
      <c r="A6" t="s">
        <v>215</v>
      </c>
      <c r="B6" t="s">
        <v>217</v>
      </c>
      <c r="C6" t="s">
        <v>217</v>
      </c>
      <c r="D6" t="s">
        <v>7</v>
      </c>
      <c r="E6" t="s">
        <v>216</v>
      </c>
      <c r="F6" t="s">
        <v>215</v>
      </c>
      <c r="G6" t="s">
        <v>216</v>
      </c>
      <c r="H6" t="s">
        <v>216</v>
      </c>
      <c r="I6" t="s">
        <v>7</v>
      </c>
      <c r="J6" t="s">
        <v>217</v>
      </c>
    </row>
    <row r="7" spans="1:10" x14ac:dyDescent="0.2">
      <c r="A7" t="s">
        <v>257</v>
      </c>
      <c r="B7" t="s">
        <v>259</v>
      </c>
      <c r="C7" t="s">
        <v>259</v>
      </c>
      <c r="D7" t="s">
        <v>258</v>
      </c>
      <c r="E7" t="s">
        <v>216</v>
      </c>
      <c r="F7" t="s">
        <v>257</v>
      </c>
      <c r="G7" t="s">
        <v>216</v>
      </c>
      <c r="H7" t="s">
        <v>216</v>
      </c>
      <c r="I7" t="s">
        <v>258</v>
      </c>
      <c r="J7" t="s">
        <v>259</v>
      </c>
    </row>
    <row r="8" spans="1:10" x14ac:dyDescent="0.2">
      <c r="A8" t="s">
        <v>335</v>
      </c>
      <c r="B8" t="s">
        <v>336</v>
      </c>
      <c r="C8" t="s">
        <v>336</v>
      </c>
      <c r="D8" t="s">
        <v>331</v>
      </c>
      <c r="E8" t="s">
        <v>216</v>
      </c>
      <c r="F8" t="s">
        <v>335</v>
      </c>
      <c r="G8" t="s">
        <v>216</v>
      </c>
      <c r="H8" t="s">
        <v>216</v>
      </c>
      <c r="I8" t="s">
        <v>331</v>
      </c>
      <c r="J8" t="s">
        <v>336</v>
      </c>
    </row>
    <row r="9" spans="1:10" x14ac:dyDescent="0.2">
      <c r="A9" t="s">
        <v>386</v>
      </c>
      <c r="B9" t="s">
        <v>387</v>
      </c>
      <c r="C9" t="s">
        <v>387</v>
      </c>
      <c r="D9" t="s">
        <v>258</v>
      </c>
      <c r="E9" t="s">
        <v>216</v>
      </c>
      <c r="F9" t="s">
        <v>386</v>
      </c>
      <c r="G9" t="s">
        <v>216</v>
      </c>
      <c r="H9" t="s">
        <v>216</v>
      </c>
      <c r="I9" t="s">
        <v>258</v>
      </c>
      <c r="J9" t="s">
        <v>387</v>
      </c>
    </row>
    <row r="10" spans="1:10" x14ac:dyDescent="0.2">
      <c r="A10" t="s">
        <v>337</v>
      </c>
      <c r="B10" t="s">
        <v>338</v>
      </c>
      <c r="C10" t="s">
        <v>338</v>
      </c>
      <c r="D10" t="s">
        <v>331</v>
      </c>
      <c r="E10" t="s">
        <v>216</v>
      </c>
      <c r="F10" t="s">
        <v>337</v>
      </c>
      <c r="G10" t="s">
        <v>216</v>
      </c>
      <c r="H10" t="s">
        <v>216</v>
      </c>
      <c r="I10" t="s">
        <v>331</v>
      </c>
      <c r="J10" t="s">
        <v>338</v>
      </c>
    </row>
    <row r="11" spans="1:10" x14ac:dyDescent="0.2">
      <c r="A11" t="s">
        <v>333</v>
      </c>
      <c r="B11" t="s">
        <v>334</v>
      </c>
      <c r="C11" t="s">
        <v>334</v>
      </c>
      <c r="D11" t="s">
        <v>331</v>
      </c>
      <c r="E11" t="s">
        <v>216</v>
      </c>
      <c r="F11" t="s">
        <v>333</v>
      </c>
      <c r="G11" t="s">
        <v>216</v>
      </c>
      <c r="H11" t="s">
        <v>216</v>
      </c>
      <c r="I11" t="s">
        <v>331</v>
      </c>
      <c r="J11" t="s">
        <v>334</v>
      </c>
    </row>
    <row r="12" spans="1:10" x14ac:dyDescent="0.2">
      <c r="A12" s="3"/>
      <c r="B12" s="3"/>
      <c r="C12" s="3"/>
      <c r="D12" s="3"/>
      <c r="E12" s="3"/>
      <c r="F12" t="s">
        <v>425</v>
      </c>
      <c r="G12" t="s">
        <v>373</v>
      </c>
      <c r="H12" t="s">
        <v>373</v>
      </c>
      <c r="I12" t="s">
        <v>426</v>
      </c>
      <c r="J12" t="s">
        <v>427</v>
      </c>
    </row>
    <row r="13" spans="1:10" x14ac:dyDescent="0.2">
      <c r="A13" t="s">
        <v>406</v>
      </c>
      <c r="B13" t="s">
        <v>407</v>
      </c>
      <c r="C13" t="s">
        <v>407</v>
      </c>
      <c r="D13" t="s">
        <v>258</v>
      </c>
      <c r="E13" t="s">
        <v>373</v>
      </c>
      <c r="F13" t="s">
        <v>406</v>
      </c>
      <c r="G13" t="s">
        <v>373</v>
      </c>
      <c r="H13" t="s">
        <v>373</v>
      </c>
      <c r="I13" t="s">
        <v>258</v>
      </c>
      <c r="J13" t="s">
        <v>407</v>
      </c>
    </row>
    <row r="14" spans="1:10" x14ac:dyDescent="0.2">
      <c r="A14" t="s">
        <v>372</v>
      </c>
      <c r="B14" t="s">
        <v>374</v>
      </c>
      <c r="C14" t="s">
        <v>374</v>
      </c>
      <c r="D14" t="s">
        <v>258</v>
      </c>
      <c r="E14" t="s">
        <v>373</v>
      </c>
      <c r="F14" t="s">
        <v>372</v>
      </c>
      <c r="G14" t="s">
        <v>373</v>
      </c>
      <c r="H14" t="s">
        <v>373</v>
      </c>
      <c r="I14" t="s">
        <v>258</v>
      </c>
      <c r="J14" t="s">
        <v>374</v>
      </c>
    </row>
    <row r="15" spans="1:10" x14ac:dyDescent="0.2">
      <c r="A15" t="s">
        <v>379</v>
      </c>
      <c r="B15" t="s">
        <v>380</v>
      </c>
      <c r="C15" t="s">
        <v>380</v>
      </c>
      <c r="D15" t="s">
        <v>258</v>
      </c>
      <c r="E15" t="s">
        <v>373</v>
      </c>
      <c r="F15" t="s">
        <v>379</v>
      </c>
      <c r="G15" t="s">
        <v>373</v>
      </c>
      <c r="H15" t="s">
        <v>373</v>
      </c>
      <c r="I15" t="s">
        <v>258</v>
      </c>
      <c r="J15" t="s">
        <v>380</v>
      </c>
    </row>
    <row r="16" spans="1:10" x14ac:dyDescent="0.2">
      <c r="A16" t="s">
        <v>375</v>
      </c>
      <c r="B16" t="s">
        <v>376</v>
      </c>
      <c r="C16" t="s">
        <v>376</v>
      </c>
      <c r="D16" t="s">
        <v>258</v>
      </c>
      <c r="E16" t="s">
        <v>373</v>
      </c>
      <c r="F16" t="s">
        <v>375</v>
      </c>
      <c r="G16" t="s">
        <v>373</v>
      </c>
      <c r="H16" t="s">
        <v>373</v>
      </c>
      <c r="I16" t="s">
        <v>258</v>
      </c>
      <c r="J16" t="s">
        <v>376</v>
      </c>
    </row>
    <row r="17" spans="1:10" x14ac:dyDescent="0.2">
      <c r="A17" t="s">
        <v>107</v>
      </c>
      <c r="B17" t="s">
        <v>108</v>
      </c>
      <c r="C17" t="s">
        <v>108</v>
      </c>
      <c r="D17" t="s">
        <v>7</v>
      </c>
      <c r="E17" t="s">
        <v>97</v>
      </c>
      <c r="F17" t="s">
        <v>107</v>
      </c>
      <c r="G17" t="s">
        <v>97</v>
      </c>
      <c r="H17" t="s">
        <v>97</v>
      </c>
      <c r="I17" t="s">
        <v>7</v>
      </c>
      <c r="J17" t="s">
        <v>108</v>
      </c>
    </row>
    <row r="18" spans="1:10" x14ac:dyDescent="0.2">
      <c r="A18" t="s">
        <v>171</v>
      </c>
      <c r="B18" t="s">
        <v>172</v>
      </c>
      <c r="C18" t="s">
        <v>172</v>
      </c>
      <c r="D18" t="s">
        <v>7</v>
      </c>
      <c r="E18" t="s">
        <v>97</v>
      </c>
      <c r="F18" t="s">
        <v>171</v>
      </c>
      <c r="G18" t="s">
        <v>97</v>
      </c>
      <c r="H18" t="s">
        <v>97</v>
      </c>
      <c r="I18" t="s">
        <v>7</v>
      </c>
      <c r="J18" t="s">
        <v>172</v>
      </c>
    </row>
    <row r="19" spans="1:10" x14ac:dyDescent="0.2">
      <c r="A19" t="s">
        <v>239</v>
      </c>
      <c r="B19" t="s">
        <v>240</v>
      </c>
      <c r="C19" t="s">
        <v>240</v>
      </c>
      <c r="D19" t="s">
        <v>219</v>
      </c>
      <c r="E19" t="s">
        <v>97</v>
      </c>
      <c r="F19" t="s">
        <v>239</v>
      </c>
      <c r="G19" t="s">
        <v>97</v>
      </c>
      <c r="H19" t="s">
        <v>97</v>
      </c>
      <c r="I19" t="s">
        <v>219</v>
      </c>
      <c r="J19" t="s">
        <v>240</v>
      </c>
    </row>
    <row r="20" spans="1:10" x14ac:dyDescent="0.2">
      <c r="A20" t="s">
        <v>315</v>
      </c>
      <c r="B20" t="s">
        <v>316</v>
      </c>
      <c r="C20" t="s">
        <v>316</v>
      </c>
      <c r="D20" t="s">
        <v>219</v>
      </c>
      <c r="E20" t="s">
        <v>225</v>
      </c>
      <c r="F20" t="s">
        <v>315</v>
      </c>
      <c r="G20" t="s">
        <v>225</v>
      </c>
      <c r="H20" t="s">
        <v>225</v>
      </c>
      <c r="I20" t="s">
        <v>219</v>
      </c>
      <c r="J20" t="s">
        <v>316</v>
      </c>
    </row>
    <row r="21" spans="1:10" x14ac:dyDescent="0.2">
      <c r="A21" t="s">
        <v>304</v>
      </c>
      <c r="B21" t="s">
        <v>305</v>
      </c>
      <c r="C21" t="s">
        <v>305</v>
      </c>
      <c r="D21" t="s">
        <v>219</v>
      </c>
      <c r="E21" t="s">
        <v>123</v>
      </c>
      <c r="F21" t="s">
        <v>304</v>
      </c>
      <c r="G21" t="s">
        <v>123</v>
      </c>
      <c r="H21" t="s">
        <v>123</v>
      </c>
      <c r="I21" t="s">
        <v>219</v>
      </c>
      <c r="J21" t="s">
        <v>305</v>
      </c>
    </row>
    <row r="22" spans="1:10" x14ac:dyDescent="0.2">
      <c r="A22" t="s">
        <v>105</v>
      </c>
      <c r="B22" t="s">
        <v>106</v>
      </c>
      <c r="C22" t="s">
        <v>106</v>
      </c>
      <c r="D22" t="s">
        <v>7</v>
      </c>
      <c r="E22" t="s">
        <v>97</v>
      </c>
      <c r="F22" t="s">
        <v>105</v>
      </c>
      <c r="G22" t="s">
        <v>97</v>
      </c>
      <c r="H22" t="s">
        <v>97</v>
      </c>
      <c r="I22" t="s">
        <v>7</v>
      </c>
      <c r="J22" t="s">
        <v>106</v>
      </c>
    </row>
    <row r="23" spans="1:10" x14ac:dyDescent="0.2">
      <c r="A23" t="s">
        <v>255</v>
      </c>
      <c r="B23" t="s">
        <v>256</v>
      </c>
      <c r="C23" t="s">
        <v>256</v>
      </c>
      <c r="D23" t="s">
        <v>219</v>
      </c>
      <c r="E23" t="s">
        <v>97</v>
      </c>
      <c r="F23" t="s">
        <v>255</v>
      </c>
      <c r="G23" t="s">
        <v>97</v>
      </c>
      <c r="H23" t="s">
        <v>97</v>
      </c>
      <c r="I23" t="s">
        <v>219</v>
      </c>
      <c r="J23" t="s">
        <v>256</v>
      </c>
    </row>
    <row r="24" spans="1:10" x14ac:dyDescent="0.2">
      <c r="A24" t="s">
        <v>115</v>
      </c>
      <c r="B24" t="s">
        <v>116</v>
      </c>
      <c r="C24" t="s">
        <v>116</v>
      </c>
      <c r="D24" t="s">
        <v>7</v>
      </c>
      <c r="E24" t="s">
        <v>97</v>
      </c>
      <c r="F24" t="s">
        <v>115</v>
      </c>
      <c r="G24" t="s">
        <v>97</v>
      </c>
      <c r="H24" t="s">
        <v>97</v>
      </c>
      <c r="I24" t="s">
        <v>7</v>
      </c>
      <c r="J24" t="s">
        <v>116</v>
      </c>
    </row>
    <row r="25" spans="1:10" x14ac:dyDescent="0.2">
      <c r="A25" t="s">
        <v>246</v>
      </c>
      <c r="B25" t="s">
        <v>247</v>
      </c>
      <c r="C25" t="s">
        <v>247</v>
      </c>
      <c r="D25" t="s">
        <v>219</v>
      </c>
      <c r="E25" t="s">
        <v>97</v>
      </c>
      <c r="F25" t="s">
        <v>246</v>
      </c>
      <c r="G25" t="s">
        <v>97</v>
      </c>
      <c r="H25" t="s">
        <v>97</v>
      </c>
      <c r="I25" t="s">
        <v>219</v>
      </c>
      <c r="J25" t="s">
        <v>247</v>
      </c>
    </row>
    <row r="26" spans="1:10" x14ac:dyDescent="0.2">
      <c r="A26" t="s">
        <v>177</v>
      </c>
      <c r="B26" t="s">
        <v>178</v>
      </c>
      <c r="C26" t="s">
        <v>178</v>
      </c>
      <c r="D26" t="s">
        <v>7</v>
      </c>
      <c r="E26" t="s">
        <v>97</v>
      </c>
      <c r="F26" t="s">
        <v>177</v>
      </c>
      <c r="G26" t="s">
        <v>97</v>
      </c>
      <c r="H26" t="s">
        <v>97</v>
      </c>
      <c r="I26" t="s">
        <v>7</v>
      </c>
      <c r="J26" t="s">
        <v>178</v>
      </c>
    </row>
    <row r="27" spans="1:10" x14ac:dyDescent="0.2">
      <c r="A27" t="s">
        <v>117</v>
      </c>
      <c r="B27" t="s">
        <v>118</v>
      </c>
      <c r="C27" t="s">
        <v>118</v>
      </c>
      <c r="D27" t="s">
        <v>7</v>
      </c>
      <c r="E27" t="s">
        <v>97</v>
      </c>
      <c r="F27" t="s">
        <v>117</v>
      </c>
      <c r="G27" t="s">
        <v>97</v>
      </c>
      <c r="H27" t="s">
        <v>97</v>
      </c>
      <c r="I27" t="s">
        <v>7</v>
      </c>
      <c r="J27" t="s">
        <v>118</v>
      </c>
    </row>
    <row r="28" spans="1:10" x14ac:dyDescent="0.2">
      <c r="A28" t="s">
        <v>302</v>
      </c>
      <c r="B28" t="s">
        <v>303</v>
      </c>
      <c r="C28" t="s">
        <v>303</v>
      </c>
      <c r="D28" t="s">
        <v>219</v>
      </c>
      <c r="E28" t="s">
        <v>281</v>
      </c>
      <c r="F28" t="s">
        <v>302</v>
      </c>
      <c r="G28" t="s">
        <v>281</v>
      </c>
      <c r="H28" t="s">
        <v>281</v>
      </c>
      <c r="I28" t="s">
        <v>219</v>
      </c>
      <c r="J28" t="s">
        <v>303</v>
      </c>
    </row>
    <row r="29" spans="1:10" x14ac:dyDescent="0.2">
      <c r="A29" t="s">
        <v>280</v>
      </c>
      <c r="B29" t="s">
        <v>282</v>
      </c>
      <c r="C29" t="s">
        <v>282</v>
      </c>
      <c r="D29" t="s">
        <v>219</v>
      </c>
      <c r="E29" t="s">
        <v>281</v>
      </c>
      <c r="F29" t="s">
        <v>280</v>
      </c>
      <c r="G29" t="s">
        <v>281</v>
      </c>
      <c r="H29" t="s">
        <v>281</v>
      </c>
      <c r="I29" t="s">
        <v>219</v>
      </c>
      <c r="J29" t="s">
        <v>282</v>
      </c>
    </row>
    <row r="30" spans="1:10" x14ac:dyDescent="0.2">
      <c r="A30" t="s">
        <v>398</v>
      </c>
      <c r="B30" t="s">
        <v>399</v>
      </c>
      <c r="C30" t="s">
        <v>399</v>
      </c>
      <c r="D30" t="s">
        <v>258</v>
      </c>
      <c r="E30" t="s">
        <v>281</v>
      </c>
      <c r="F30" t="s">
        <v>398</v>
      </c>
      <c r="G30" t="s">
        <v>281</v>
      </c>
      <c r="H30" t="s">
        <v>281</v>
      </c>
      <c r="I30" t="s">
        <v>258</v>
      </c>
      <c r="J30" t="s">
        <v>399</v>
      </c>
    </row>
    <row r="31" spans="1:10" x14ac:dyDescent="0.2">
      <c r="A31" t="s">
        <v>402</v>
      </c>
      <c r="B31" t="s">
        <v>403</v>
      </c>
      <c r="C31" t="s">
        <v>403</v>
      </c>
      <c r="D31" t="s">
        <v>258</v>
      </c>
      <c r="E31" t="s">
        <v>281</v>
      </c>
      <c r="F31" t="s">
        <v>402</v>
      </c>
      <c r="G31" t="s">
        <v>281</v>
      </c>
      <c r="H31" t="s">
        <v>281</v>
      </c>
      <c r="I31" t="s">
        <v>258</v>
      </c>
      <c r="J31" t="s">
        <v>403</v>
      </c>
    </row>
    <row r="32" spans="1:10" x14ac:dyDescent="0.2">
      <c r="A32" t="s">
        <v>156</v>
      </c>
      <c r="B32" t="s">
        <v>157</v>
      </c>
      <c r="C32" t="s">
        <v>157</v>
      </c>
      <c r="D32" t="s">
        <v>7</v>
      </c>
      <c r="E32" t="s">
        <v>53</v>
      </c>
      <c r="F32" t="s">
        <v>156</v>
      </c>
      <c r="G32" t="s">
        <v>53</v>
      </c>
      <c r="H32" t="s">
        <v>53</v>
      </c>
      <c r="I32" t="s">
        <v>7</v>
      </c>
      <c r="J32" t="s">
        <v>157</v>
      </c>
    </row>
    <row r="33" spans="1:10" x14ac:dyDescent="0.2">
      <c r="A33" t="s">
        <v>342</v>
      </c>
      <c r="B33" t="s">
        <v>343</v>
      </c>
      <c r="C33" t="s">
        <v>343</v>
      </c>
      <c r="D33" t="s">
        <v>219</v>
      </c>
      <c r="E33" t="s">
        <v>341</v>
      </c>
      <c r="F33" t="s">
        <v>342</v>
      </c>
      <c r="G33" t="s">
        <v>341</v>
      </c>
      <c r="H33" t="s">
        <v>341</v>
      </c>
      <c r="I33" t="s">
        <v>219</v>
      </c>
      <c r="J33" t="s">
        <v>343</v>
      </c>
    </row>
    <row r="34" spans="1:10" x14ac:dyDescent="0.2">
      <c r="A34" t="s">
        <v>161</v>
      </c>
      <c r="B34" t="s">
        <v>162</v>
      </c>
      <c r="C34" t="s">
        <v>162</v>
      </c>
      <c r="D34" t="s">
        <v>7</v>
      </c>
      <c r="E34" t="s">
        <v>53</v>
      </c>
      <c r="F34" t="s">
        <v>161</v>
      </c>
      <c r="G34" t="s">
        <v>53</v>
      </c>
      <c r="H34" t="s">
        <v>53</v>
      </c>
      <c r="I34" t="s">
        <v>7</v>
      </c>
      <c r="J34" t="s">
        <v>162</v>
      </c>
    </row>
    <row r="35" spans="1:10" x14ac:dyDescent="0.2">
      <c r="A35" t="s">
        <v>173</v>
      </c>
      <c r="B35" t="s">
        <v>174</v>
      </c>
      <c r="C35" t="s">
        <v>174</v>
      </c>
      <c r="D35" t="s">
        <v>7</v>
      </c>
      <c r="E35" t="s">
        <v>53</v>
      </c>
      <c r="F35" t="s">
        <v>173</v>
      </c>
      <c r="G35" t="s">
        <v>53</v>
      </c>
      <c r="H35" t="s">
        <v>53</v>
      </c>
      <c r="I35" t="s">
        <v>7</v>
      </c>
      <c r="J35" t="s">
        <v>174</v>
      </c>
    </row>
    <row r="36" spans="1:10" x14ac:dyDescent="0.2">
      <c r="A36" t="s">
        <v>52</v>
      </c>
      <c r="B36" t="s">
        <v>54</v>
      </c>
      <c r="C36" t="s">
        <v>54</v>
      </c>
      <c r="D36" t="s">
        <v>7</v>
      </c>
      <c r="E36" t="s">
        <v>53</v>
      </c>
      <c r="F36" t="s">
        <v>52</v>
      </c>
      <c r="G36" t="s">
        <v>53</v>
      </c>
      <c r="H36" t="s">
        <v>53</v>
      </c>
      <c r="I36" t="s">
        <v>7</v>
      </c>
      <c r="J36" t="s">
        <v>54</v>
      </c>
    </row>
    <row r="37" spans="1:10" x14ac:dyDescent="0.2">
      <c r="A37" t="s">
        <v>196</v>
      </c>
      <c r="B37" t="s">
        <v>197</v>
      </c>
      <c r="C37" t="s">
        <v>197</v>
      </c>
      <c r="D37" t="s">
        <v>7</v>
      </c>
      <c r="E37" t="s">
        <v>28</v>
      </c>
      <c r="F37" t="s">
        <v>196</v>
      </c>
      <c r="G37" t="s">
        <v>28</v>
      </c>
      <c r="H37" t="s">
        <v>28</v>
      </c>
      <c r="I37" t="s">
        <v>7</v>
      </c>
      <c r="J37" t="s">
        <v>197</v>
      </c>
    </row>
    <row r="38" spans="1:10" x14ac:dyDescent="0.2">
      <c r="A38" t="s">
        <v>194</v>
      </c>
      <c r="B38" t="s">
        <v>195</v>
      </c>
      <c r="C38" t="s">
        <v>195</v>
      </c>
      <c r="D38" t="s">
        <v>7</v>
      </c>
      <c r="E38" t="s">
        <v>28</v>
      </c>
      <c r="F38" t="s">
        <v>194</v>
      </c>
      <c r="G38" t="s">
        <v>28</v>
      </c>
      <c r="H38" t="s">
        <v>28</v>
      </c>
      <c r="I38" t="s">
        <v>7</v>
      </c>
      <c r="J38" t="s">
        <v>195</v>
      </c>
    </row>
    <row r="39" spans="1:10" x14ac:dyDescent="0.2">
      <c r="A39" t="s">
        <v>213</v>
      </c>
      <c r="B39" t="s">
        <v>214</v>
      </c>
      <c r="C39" t="s">
        <v>214</v>
      </c>
      <c r="D39" t="s">
        <v>7</v>
      </c>
      <c r="E39" t="s">
        <v>28</v>
      </c>
      <c r="F39" t="s">
        <v>213</v>
      </c>
      <c r="G39" t="s">
        <v>28</v>
      </c>
      <c r="H39" t="s">
        <v>28</v>
      </c>
      <c r="I39" t="s">
        <v>7</v>
      </c>
      <c r="J39" t="s">
        <v>214</v>
      </c>
    </row>
    <row r="40" spans="1:10" x14ac:dyDescent="0.2">
      <c r="A40" t="s">
        <v>192</v>
      </c>
      <c r="B40" t="s">
        <v>193</v>
      </c>
      <c r="C40" t="s">
        <v>193</v>
      </c>
      <c r="D40" t="s">
        <v>7</v>
      </c>
      <c r="E40" t="s">
        <v>28</v>
      </c>
      <c r="F40" t="s">
        <v>192</v>
      </c>
      <c r="G40" t="s">
        <v>28</v>
      </c>
      <c r="H40" t="s">
        <v>28</v>
      </c>
      <c r="I40" t="s">
        <v>7</v>
      </c>
      <c r="J40" t="s">
        <v>193</v>
      </c>
    </row>
    <row r="41" spans="1:10" x14ac:dyDescent="0.2">
      <c r="A41" t="s">
        <v>24</v>
      </c>
      <c r="B41" t="s">
        <v>26</v>
      </c>
      <c r="C41" t="s">
        <v>26</v>
      </c>
      <c r="D41" t="s">
        <v>7</v>
      </c>
      <c r="E41" t="s">
        <v>25</v>
      </c>
      <c r="F41" t="s">
        <v>24</v>
      </c>
      <c r="G41" t="s">
        <v>25</v>
      </c>
      <c r="H41" t="s">
        <v>25</v>
      </c>
      <c r="I41" t="s">
        <v>7</v>
      </c>
      <c r="J41" t="s">
        <v>26</v>
      </c>
    </row>
    <row r="42" spans="1:10" x14ac:dyDescent="0.2">
      <c r="A42" s="3"/>
      <c r="B42" s="3"/>
      <c r="C42" s="3"/>
      <c r="D42" s="3"/>
      <c r="E42" s="3"/>
      <c r="F42" t="s">
        <v>428</v>
      </c>
      <c r="G42" t="s">
        <v>373</v>
      </c>
      <c r="H42" t="s">
        <v>373</v>
      </c>
      <c r="I42" t="s">
        <v>429</v>
      </c>
      <c r="J42" s="2" t="s">
        <v>430</v>
      </c>
    </row>
    <row r="43" spans="1:10" x14ac:dyDescent="0.2">
      <c r="A43" t="s">
        <v>208</v>
      </c>
      <c r="B43" t="s">
        <v>210</v>
      </c>
      <c r="C43" t="s">
        <v>210</v>
      </c>
      <c r="D43" t="s">
        <v>7</v>
      </c>
      <c r="E43" t="s">
        <v>209</v>
      </c>
      <c r="F43" t="s">
        <v>208</v>
      </c>
      <c r="G43" t="s">
        <v>209</v>
      </c>
      <c r="H43" t="s">
        <v>209</v>
      </c>
      <c r="I43" t="s">
        <v>7</v>
      </c>
      <c r="J43" t="s">
        <v>210</v>
      </c>
    </row>
    <row r="44" spans="1:10" x14ac:dyDescent="0.2">
      <c r="A44" t="s">
        <v>96</v>
      </c>
      <c r="B44" t="s">
        <v>98</v>
      </c>
      <c r="C44" t="s">
        <v>98</v>
      </c>
      <c r="D44" t="s">
        <v>7</v>
      </c>
      <c r="E44" t="s">
        <v>97</v>
      </c>
      <c r="F44" t="s">
        <v>96</v>
      </c>
      <c r="G44" t="s">
        <v>97</v>
      </c>
      <c r="H44" t="s">
        <v>97</v>
      </c>
      <c r="I44" t="s">
        <v>7</v>
      </c>
      <c r="J44" t="s">
        <v>98</v>
      </c>
    </row>
    <row r="45" spans="1:10" x14ac:dyDescent="0.2">
      <c r="A45" t="s">
        <v>198</v>
      </c>
      <c r="B45" t="s">
        <v>199</v>
      </c>
      <c r="C45" t="s">
        <v>199</v>
      </c>
      <c r="D45" t="s">
        <v>7</v>
      </c>
      <c r="E45" t="s">
        <v>28</v>
      </c>
      <c r="F45" t="s">
        <v>198</v>
      </c>
      <c r="G45" t="s">
        <v>28</v>
      </c>
      <c r="H45" t="s">
        <v>28</v>
      </c>
      <c r="I45" t="s">
        <v>7</v>
      </c>
      <c r="J45" t="s">
        <v>199</v>
      </c>
    </row>
    <row r="46" spans="1:10" x14ac:dyDescent="0.2">
      <c r="A46" t="s">
        <v>263</v>
      </c>
      <c r="B46" t="s">
        <v>264</v>
      </c>
      <c r="C46" t="s">
        <v>264</v>
      </c>
      <c r="D46" t="s">
        <v>219</v>
      </c>
      <c r="E46" t="s">
        <v>28</v>
      </c>
      <c r="F46" t="s">
        <v>263</v>
      </c>
      <c r="G46" t="s">
        <v>28</v>
      </c>
      <c r="H46" t="s">
        <v>28</v>
      </c>
      <c r="I46" t="s">
        <v>219</v>
      </c>
      <c r="J46" t="s">
        <v>264</v>
      </c>
    </row>
    <row r="47" spans="1:10" x14ac:dyDescent="0.2">
      <c r="A47" t="s">
        <v>27</v>
      </c>
      <c r="B47" t="s">
        <v>29</v>
      </c>
      <c r="C47" t="s">
        <v>29</v>
      </c>
      <c r="D47" t="s">
        <v>7</v>
      </c>
      <c r="E47" t="s">
        <v>28</v>
      </c>
      <c r="F47" t="s">
        <v>27</v>
      </c>
      <c r="G47" t="s">
        <v>28</v>
      </c>
      <c r="H47" t="s">
        <v>28</v>
      </c>
      <c r="I47" t="s">
        <v>7</v>
      </c>
      <c r="J47" t="s">
        <v>29</v>
      </c>
    </row>
    <row r="48" spans="1:10" x14ac:dyDescent="0.2">
      <c r="A48" t="s">
        <v>190</v>
      </c>
      <c r="B48" t="s">
        <v>191</v>
      </c>
      <c r="C48" t="s">
        <v>191</v>
      </c>
      <c r="D48" t="s">
        <v>7</v>
      </c>
      <c r="E48" t="s">
        <v>28</v>
      </c>
      <c r="F48" t="s">
        <v>190</v>
      </c>
      <c r="G48" t="s">
        <v>28</v>
      </c>
      <c r="H48" t="s">
        <v>28</v>
      </c>
      <c r="I48" t="s">
        <v>7</v>
      </c>
      <c r="J48" t="s">
        <v>191</v>
      </c>
    </row>
    <row r="49" spans="1:10" x14ac:dyDescent="0.2">
      <c r="A49" t="s">
        <v>120</v>
      </c>
      <c r="B49" t="s">
        <v>121</v>
      </c>
      <c r="C49" t="s">
        <v>121</v>
      </c>
      <c r="D49" t="s">
        <v>7</v>
      </c>
      <c r="E49" t="s">
        <v>97</v>
      </c>
      <c r="F49" t="s">
        <v>120</v>
      </c>
      <c r="G49" t="s">
        <v>97</v>
      </c>
      <c r="H49" t="s">
        <v>97</v>
      </c>
      <c r="I49" t="s">
        <v>7</v>
      </c>
      <c r="J49" t="s">
        <v>121</v>
      </c>
    </row>
    <row r="50" spans="1:10" x14ac:dyDescent="0.2">
      <c r="A50" s="3"/>
      <c r="B50" s="3"/>
      <c r="C50" s="3"/>
      <c r="D50" s="3"/>
      <c r="E50" s="3"/>
      <c r="F50" t="s">
        <v>431</v>
      </c>
      <c r="G50" t="s">
        <v>146</v>
      </c>
      <c r="H50" t="s">
        <v>146</v>
      </c>
      <c r="I50" t="s">
        <v>426</v>
      </c>
      <c r="J50" t="s">
        <v>432</v>
      </c>
    </row>
    <row r="51" spans="1:10" x14ac:dyDescent="0.2">
      <c r="A51" s="3"/>
      <c r="B51" s="3"/>
      <c r="C51" s="3"/>
      <c r="D51" s="3"/>
      <c r="E51" s="3"/>
      <c r="F51" t="s">
        <v>433</v>
      </c>
      <c r="G51" t="s">
        <v>41</v>
      </c>
      <c r="H51" t="s">
        <v>41</v>
      </c>
      <c r="I51" t="s">
        <v>434</v>
      </c>
      <c r="J51" t="s">
        <v>435</v>
      </c>
    </row>
    <row r="52" spans="1:10" x14ac:dyDescent="0.2">
      <c r="A52" s="3"/>
      <c r="B52" s="3"/>
      <c r="C52" s="3"/>
      <c r="D52" s="3"/>
      <c r="E52" s="3"/>
      <c r="F52" t="s">
        <v>436</v>
      </c>
      <c r="G52" t="s">
        <v>41</v>
      </c>
      <c r="H52" t="s">
        <v>41</v>
      </c>
      <c r="I52" t="s">
        <v>434</v>
      </c>
      <c r="J52" t="s">
        <v>437</v>
      </c>
    </row>
    <row r="53" spans="1:10" x14ac:dyDescent="0.2">
      <c r="A53" s="3"/>
      <c r="B53" s="3"/>
      <c r="C53" s="3"/>
      <c r="D53" s="3"/>
      <c r="E53" s="3"/>
      <c r="F53" t="s">
        <v>438</v>
      </c>
      <c r="G53" t="s">
        <v>41</v>
      </c>
      <c r="H53" t="s">
        <v>41</v>
      </c>
      <c r="I53" t="s">
        <v>434</v>
      </c>
      <c r="J53" t="s">
        <v>439</v>
      </c>
    </row>
    <row r="54" spans="1:10" x14ac:dyDescent="0.2">
      <c r="A54" t="s">
        <v>81</v>
      </c>
      <c r="B54" t="s">
        <v>82</v>
      </c>
      <c r="C54" t="s">
        <v>82</v>
      </c>
      <c r="D54" t="s">
        <v>59</v>
      </c>
      <c r="E54" t="s">
        <v>10</v>
      </c>
      <c r="F54" t="s">
        <v>81</v>
      </c>
      <c r="G54" t="s">
        <v>10</v>
      </c>
      <c r="H54" t="s">
        <v>10</v>
      </c>
      <c r="I54" t="s">
        <v>59</v>
      </c>
      <c r="J54" t="s">
        <v>82</v>
      </c>
    </row>
    <row r="55" spans="1:10" x14ac:dyDescent="0.2">
      <c r="A55" t="s">
        <v>396</v>
      </c>
      <c r="B55" t="s">
        <v>397</v>
      </c>
      <c r="C55" t="s">
        <v>397</v>
      </c>
      <c r="D55" t="s">
        <v>258</v>
      </c>
      <c r="E55" t="s">
        <v>38</v>
      </c>
      <c r="F55" t="s">
        <v>396</v>
      </c>
      <c r="G55" t="s">
        <v>38</v>
      </c>
      <c r="H55" t="s">
        <v>38</v>
      </c>
      <c r="I55" t="s">
        <v>258</v>
      </c>
      <c r="J55" t="s">
        <v>397</v>
      </c>
    </row>
    <row r="56" spans="1:10" x14ac:dyDescent="0.2">
      <c r="A56" t="s">
        <v>37</v>
      </c>
      <c r="B56" t="s">
        <v>39</v>
      </c>
      <c r="C56" t="s">
        <v>39</v>
      </c>
      <c r="D56" t="s">
        <v>7</v>
      </c>
      <c r="E56" t="s">
        <v>38</v>
      </c>
      <c r="F56" t="s">
        <v>37</v>
      </c>
      <c r="G56" t="s">
        <v>38</v>
      </c>
      <c r="H56" t="s">
        <v>38</v>
      </c>
      <c r="I56" t="s">
        <v>7</v>
      </c>
      <c r="J56" t="s">
        <v>39</v>
      </c>
    </row>
    <row r="57" spans="1:10" x14ac:dyDescent="0.2">
      <c r="A57" t="s">
        <v>83</v>
      </c>
      <c r="B57" t="s">
        <v>84</v>
      </c>
      <c r="C57" t="s">
        <v>84</v>
      </c>
      <c r="D57" t="s">
        <v>59</v>
      </c>
      <c r="E57" t="s">
        <v>10</v>
      </c>
      <c r="F57" t="s">
        <v>83</v>
      </c>
      <c r="G57" t="s">
        <v>10</v>
      </c>
      <c r="H57" t="s">
        <v>10</v>
      </c>
      <c r="I57" t="s">
        <v>59</v>
      </c>
      <c r="J57" t="s">
        <v>84</v>
      </c>
    </row>
    <row r="58" spans="1:10" x14ac:dyDescent="0.2">
      <c r="A58" t="s">
        <v>394</v>
      </c>
      <c r="B58" t="s">
        <v>395</v>
      </c>
      <c r="C58" t="s">
        <v>395</v>
      </c>
      <c r="D58" t="s">
        <v>258</v>
      </c>
      <c r="E58" t="s">
        <v>38</v>
      </c>
      <c r="F58" t="s">
        <v>394</v>
      </c>
      <c r="G58" t="s">
        <v>38</v>
      </c>
      <c r="H58" t="s">
        <v>38</v>
      </c>
      <c r="I58" t="s">
        <v>258</v>
      </c>
      <c r="J58" t="s">
        <v>395</v>
      </c>
    </row>
    <row r="59" spans="1:10" x14ac:dyDescent="0.2">
      <c r="A59" t="s">
        <v>377</v>
      </c>
      <c r="B59" t="s">
        <v>378</v>
      </c>
      <c r="C59" t="s">
        <v>378</v>
      </c>
      <c r="D59" t="s">
        <v>258</v>
      </c>
      <c r="E59" t="s">
        <v>38</v>
      </c>
      <c r="F59" t="s">
        <v>377</v>
      </c>
      <c r="G59" t="s">
        <v>38</v>
      </c>
      <c r="H59" t="s">
        <v>38</v>
      </c>
      <c r="I59" t="s">
        <v>258</v>
      </c>
      <c r="J59" t="s">
        <v>378</v>
      </c>
    </row>
    <row r="60" spans="1:10" x14ac:dyDescent="0.2">
      <c r="A60" t="s">
        <v>323</v>
      </c>
      <c r="B60" t="s">
        <v>324</v>
      </c>
      <c r="C60" t="s">
        <v>324</v>
      </c>
      <c r="D60" t="s">
        <v>219</v>
      </c>
      <c r="E60" t="s">
        <v>13</v>
      </c>
      <c r="F60" t="s">
        <v>323</v>
      </c>
      <c r="G60" t="s">
        <v>13</v>
      </c>
      <c r="H60" t="s">
        <v>13</v>
      </c>
      <c r="I60" t="s">
        <v>219</v>
      </c>
      <c r="J60" t="s">
        <v>324</v>
      </c>
    </row>
    <row r="61" spans="1:10" x14ac:dyDescent="0.2">
      <c r="A61" t="s">
        <v>145</v>
      </c>
      <c r="B61" t="s">
        <v>147</v>
      </c>
      <c r="C61" t="s">
        <v>147</v>
      </c>
      <c r="D61" t="s">
        <v>7</v>
      </c>
      <c r="E61" t="s">
        <v>146</v>
      </c>
      <c r="F61" t="s">
        <v>145</v>
      </c>
      <c r="G61" t="s">
        <v>146</v>
      </c>
      <c r="H61" t="s">
        <v>146</v>
      </c>
      <c r="I61" t="s">
        <v>7</v>
      </c>
      <c r="J61" t="s">
        <v>147</v>
      </c>
    </row>
    <row r="62" spans="1:10" x14ac:dyDescent="0.2">
      <c r="A62" t="s">
        <v>30</v>
      </c>
      <c r="B62" t="s">
        <v>32</v>
      </c>
      <c r="C62" t="s">
        <v>32</v>
      </c>
      <c r="D62" t="s">
        <v>7</v>
      </c>
      <c r="E62" t="s">
        <v>31</v>
      </c>
      <c r="F62" t="s">
        <v>30</v>
      </c>
      <c r="G62" t="s">
        <v>31</v>
      </c>
      <c r="H62" t="s">
        <v>31</v>
      </c>
      <c r="I62" t="s">
        <v>7</v>
      </c>
      <c r="J62" t="s">
        <v>32</v>
      </c>
    </row>
    <row r="63" spans="1:10" x14ac:dyDescent="0.2">
      <c r="A63" t="s">
        <v>78</v>
      </c>
      <c r="B63" t="s">
        <v>80</v>
      </c>
      <c r="C63" t="s">
        <v>80</v>
      </c>
      <c r="D63" t="s">
        <v>59</v>
      </c>
      <c r="E63" t="s">
        <v>79</v>
      </c>
      <c r="F63" t="s">
        <v>78</v>
      </c>
      <c r="G63" t="s">
        <v>79</v>
      </c>
      <c r="H63" t="s">
        <v>79</v>
      </c>
      <c r="I63" t="s">
        <v>59</v>
      </c>
      <c r="J63" t="s">
        <v>80</v>
      </c>
    </row>
    <row r="64" spans="1:10" x14ac:dyDescent="0.2">
      <c r="A64" t="s">
        <v>46</v>
      </c>
      <c r="B64" t="s">
        <v>49</v>
      </c>
      <c r="C64" t="s">
        <v>49</v>
      </c>
      <c r="D64" t="s">
        <v>7</v>
      </c>
      <c r="E64" t="s">
        <v>47</v>
      </c>
      <c r="F64" t="s">
        <v>46</v>
      </c>
      <c r="G64" t="s">
        <v>47</v>
      </c>
      <c r="H64" t="s">
        <v>48</v>
      </c>
      <c r="I64" t="s">
        <v>7</v>
      </c>
      <c r="J64" t="s">
        <v>49</v>
      </c>
    </row>
    <row r="65" spans="1:10" x14ac:dyDescent="0.2">
      <c r="A65" t="s">
        <v>50</v>
      </c>
      <c r="B65" t="s">
        <v>51</v>
      </c>
      <c r="C65" t="s">
        <v>51</v>
      </c>
      <c r="D65" t="s">
        <v>7</v>
      </c>
      <c r="E65" t="s">
        <v>47</v>
      </c>
      <c r="F65" t="s">
        <v>50</v>
      </c>
      <c r="G65" t="s">
        <v>47</v>
      </c>
      <c r="H65" t="s">
        <v>48</v>
      </c>
      <c r="I65" t="s">
        <v>7</v>
      </c>
      <c r="J65" t="s">
        <v>51</v>
      </c>
    </row>
    <row r="66" spans="1:10" x14ac:dyDescent="0.2">
      <c r="A66" t="s">
        <v>40</v>
      </c>
      <c r="B66" t="s">
        <v>42</v>
      </c>
      <c r="C66" t="s">
        <v>42</v>
      </c>
      <c r="D66" t="s">
        <v>7</v>
      </c>
      <c r="E66" t="s">
        <v>41</v>
      </c>
      <c r="F66" t="s">
        <v>40</v>
      </c>
      <c r="G66" t="s">
        <v>41</v>
      </c>
      <c r="H66" t="s">
        <v>41</v>
      </c>
      <c r="I66" t="s">
        <v>7</v>
      </c>
      <c r="J66" t="s">
        <v>42</v>
      </c>
    </row>
    <row r="67" spans="1:10" x14ac:dyDescent="0.2">
      <c r="A67" t="s">
        <v>17</v>
      </c>
      <c r="B67" t="s">
        <v>19</v>
      </c>
      <c r="C67" t="s">
        <v>19</v>
      </c>
      <c r="D67" t="s">
        <v>7</v>
      </c>
      <c r="E67" t="s">
        <v>18</v>
      </c>
      <c r="F67" t="s">
        <v>17</v>
      </c>
      <c r="G67" t="s">
        <v>18</v>
      </c>
      <c r="H67" t="s">
        <v>18</v>
      </c>
      <c r="I67" t="s">
        <v>7</v>
      </c>
      <c r="J67" t="s">
        <v>19</v>
      </c>
    </row>
    <row r="68" spans="1:10" x14ac:dyDescent="0.2">
      <c r="A68" s="3"/>
      <c r="B68" s="3"/>
      <c r="C68" s="3"/>
      <c r="D68" s="3"/>
      <c r="E68" s="3"/>
      <c r="F68" t="s">
        <v>440</v>
      </c>
      <c r="G68" t="s">
        <v>13</v>
      </c>
      <c r="H68" t="s">
        <v>13</v>
      </c>
      <c r="I68" t="s">
        <v>441</v>
      </c>
      <c r="J68" t="s">
        <v>442</v>
      </c>
    </row>
    <row r="69" spans="1:10" x14ac:dyDescent="0.2">
      <c r="A69" t="s">
        <v>291</v>
      </c>
      <c r="B69" t="s">
        <v>292</v>
      </c>
      <c r="C69" t="s">
        <v>292</v>
      </c>
      <c r="D69" t="s">
        <v>219</v>
      </c>
      <c r="E69" t="s">
        <v>135</v>
      </c>
      <c r="F69" t="s">
        <v>291</v>
      </c>
      <c r="G69" t="s">
        <v>135</v>
      </c>
      <c r="H69" t="s">
        <v>135</v>
      </c>
      <c r="I69" t="s">
        <v>219</v>
      </c>
      <c r="J69" t="s">
        <v>292</v>
      </c>
    </row>
    <row r="70" spans="1:10" x14ac:dyDescent="0.2">
      <c r="A70" t="s">
        <v>227</v>
      </c>
      <c r="B70" t="s">
        <v>228</v>
      </c>
      <c r="C70" t="s">
        <v>228</v>
      </c>
      <c r="D70" t="s">
        <v>219</v>
      </c>
      <c r="E70" t="s">
        <v>123</v>
      </c>
      <c r="F70" t="s">
        <v>227</v>
      </c>
      <c r="G70" t="s">
        <v>123</v>
      </c>
      <c r="H70" t="s">
        <v>123</v>
      </c>
      <c r="I70" t="s">
        <v>219</v>
      </c>
      <c r="J70" t="s">
        <v>228</v>
      </c>
    </row>
    <row r="71" spans="1:10" x14ac:dyDescent="0.2">
      <c r="A71" t="s">
        <v>131</v>
      </c>
      <c r="B71" t="s">
        <v>133</v>
      </c>
      <c r="C71" t="s">
        <v>133</v>
      </c>
      <c r="D71" t="s">
        <v>7</v>
      </c>
      <c r="E71" t="s">
        <v>132</v>
      </c>
      <c r="F71" t="s">
        <v>131</v>
      </c>
      <c r="G71" t="s">
        <v>132</v>
      </c>
      <c r="H71" t="s">
        <v>132</v>
      </c>
      <c r="I71" t="s">
        <v>7</v>
      </c>
      <c r="J71" t="s">
        <v>133</v>
      </c>
    </row>
    <row r="72" spans="1:10" x14ac:dyDescent="0.2">
      <c r="A72" t="s">
        <v>150</v>
      </c>
      <c r="B72" t="s">
        <v>151</v>
      </c>
      <c r="C72" t="s">
        <v>151</v>
      </c>
      <c r="D72" t="s">
        <v>7</v>
      </c>
      <c r="E72" t="s">
        <v>44</v>
      </c>
      <c r="F72" t="s">
        <v>150</v>
      </c>
      <c r="G72" t="s">
        <v>44</v>
      </c>
      <c r="H72" t="s">
        <v>44</v>
      </c>
      <c r="I72" t="s">
        <v>7</v>
      </c>
      <c r="J72" t="s">
        <v>151</v>
      </c>
    </row>
    <row r="73" spans="1:10" x14ac:dyDescent="0.2">
      <c r="A73" t="s">
        <v>169</v>
      </c>
      <c r="B73" t="s">
        <v>170</v>
      </c>
      <c r="C73" t="s">
        <v>170</v>
      </c>
      <c r="D73" t="s">
        <v>7</v>
      </c>
      <c r="E73" t="s">
        <v>44</v>
      </c>
      <c r="F73" t="s">
        <v>169</v>
      </c>
      <c r="G73" t="s">
        <v>44</v>
      </c>
      <c r="H73" t="s">
        <v>44</v>
      </c>
      <c r="I73" t="s">
        <v>7</v>
      </c>
      <c r="J73" t="s">
        <v>170</v>
      </c>
    </row>
    <row r="74" spans="1:10" x14ac:dyDescent="0.2">
      <c r="A74" t="s">
        <v>241</v>
      </c>
      <c r="B74" t="s">
        <v>242</v>
      </c>
      <c r="C74" t="s">
        <v>242</v>
      </c>
      <c r="D74" t="s">
        <v>219</v>
      </c>
      <c r="E74" t="s">
        <v>44</v>
      </c>
      <c r="F74" t="s">
        <v>241</v>
      </c>
      <c r="G74" t="s">
        <v>44</v>
      </c>
      <c r="H74" t="s">
        <v>44</v>
      </c>
      <c r="I74" t="s">
        <v>219</v>
      </c>
      <c r="J74" t="s">
        <v>242</v>
      </c>
    </row>
    <row r="75" spans="1:10" x14ac:dyDescent="0.2">
      <c r="A75" t="s">
        <v>248</v>
      </c>
      <c r="B75" t="s">
        <v>249</v>
      </c>
      <c r="C75" t="s">
        <v>249</v>
      </c>
      <c r="D75" t="s">
        <v>219</v>
      </c>
      <c r="E75" t="s">
        <v>44</v>
      </c>
      <c r="F75" t="s">
        <v>248</v>
      </c>
      <c r="G75" t="s">
        <v>44</v>
      </c>
      <c r="H75" t="s">
        <v>44</v>
      </c>
      <c r="I75" t="s">
        <v>219</v>
      </c>
      <c r="J75" t="s">
        <v>249</v>
      </c>
    </row>
    <row r="76" spans="1:10" x14ac:dyDescent="0.2">
      <c r="A76" t="s">
        <v>231</v>
      </c>
      <c r="B76" t="s">
        <v>232</v>
      </c>
      <c r="C76" t="s">
        <v>232</v>
      </c>
      <c r="D76" t="s">
        <v>219</v>
      </c>
      <c r="E76" t="s">
        <v>44</v>
      </c>
      <c r="F76" t="s">
        <v>231</v>
      </c>
      <c r="G76" t="s">
        <v>44</v>
      </c>
      <c r="H76" t="s">
        <v>44</v>
      </c>
      <c r="I76" t="s">
        <v>219</v>
      </c>
      <c r="J76" t="s">
        <v>232</v>
      </c>
    </row>
    <row r="77" spans="1:10" x14ac:dyDescent="0.2">
      <c r="A77" t="s">
        <v>137</v>
      </c>
      <c r="B77" t="s">
        <v>138</v>
      </c>
      <c r="C77" t="s">
        <v>138</v>
      </c>
      <c r="D77" t="s">
        <v>7</v>
      </c>
      <c r="E77" t="s">
        <v>44</v>
      </c>
      <c r="F77" t="s">
        <v>137</v>
      </c>
      <c r="G77" t="s">
        <v>44</v>
      </c>
      <c r="H77" t="s">
        <v>44</v>
      </c>
      <c r="I77" t="s">
        <v>7</v>
      </c>
      <c r="J77" t="s">
        <v>138</v>
      </c>
    </row>
    <row r="78" spans="1:10" x14ac:dyDescent="0.2">
      <c r="A78" t="s">
        <v>165</v>
      </c>
      <c r="B78" t="s">
        <v>166</v>
      </c>
      <c r="C78" t="s">
        <v>166</v>
      </c>
      <c r="D78" t="s">
        <v>7</v>
      </c>
      <c r="E78" t="s">
        <v>44</v>
      </c>
      <c r="F78" t="s">
        <v>165</v>
      </c>
      <c r="G78" t="s">
        <v>44</v>
      </c>
      <c r="H78" t="s">
        <v>44</v>
      </c>
      <c r="I78" t="s">
        <v>7</v>
      </c>
      <c r="J78" t="s">
        <v>166</v>
      </c>
    </row>
    <row r="79" spans="1:10" x14ac:dyDescent="0.2">
      <c r="A79" t="s">
        <v>61</v>
      </c>
      <c r="B79" t="s">
        <v>62</v>
      </c>
      <c r="C79" t="s">
        <v>62</v>
      </c>
      <c r="D79" t="s">
        <v>59</v>
      </c>
      <c r="E79" t="s">
        <v>44</v>
      </c>
      <c r="F79" t="s">
        <v>61</v>
      </c>
      <c r="G79" t="s">
        <v>44</v>
      </c>
      <c r="H79" t="s">
        <v>44</v>
      </c>
      <c r="I79" t="s">
        <v>59</v>
      </c>
      <c r="J79" t="s">
        <v>62</v>
      </c>
    </row>
    <row r="80" spans="1:10" x14ac:dyDescent="0.2">
      <c r="A80" t="s">
        <v>63</v>
      </c>
      <c r="B80" t="s">
        <v>64</v>
      </c>
      <c r="C80" t="s">
        <v>64</v>
      </c>
      <c r="D80" t="s">
        <v>59</v>
      </c>
      <c r="E80" t="s">
        <v>44</v>
      </c>
      <c r="F80" t="s">
        <v>63</v>
      </c>
      <c r="G80" t="s">
        <v>44</v>
      </c>
      <c r="H80" t="s">
        <v>44</v>
      </c>
      <c r="I80" t="s">
        <v>59</v>
      </c>
      <c r="J80" t="s">
        <v>64</v>
      </c>
    </row>
    <row r="81" spans="1:10" x14ac:dyDescent="0.2">
      <c r="A81" t="s">
        <v>43</v>
      </c>
      <c r="B81" t="s">
        <v>45</v>
      </c>
      <c r="C81" t="s">
        <v>45</v>
      </c>
      <c r="D81" t="s">
        <v>7</v>
      </c>
      <c r="E81" t="s">
        <v>44</v>
      </c>
      <c r="F81" t="s">
        <v>43</v>
      </c>
      <c r="G81" t="s">
        <v>44</v>
      </c>
      <c r="H81" t="s">
        <v>44</v>
      </c>
      <c r="I81" t="s">
        <v>7</v>
      </c>
      <c r="J81" t="s">
        <v>45</v>
      </c>
    </row>
    <row r="82" spans="1:10" x14ac:dyDescent="0.2">
      <c r="A82" s="3"/>
      <c r="B82" s="3"/>
      <c r="C82" s="3"/>
      <c r="D82" s="3"/>
      <c r="E82" s="3"/>
      <c r="F82" t="s">
        <v>443</v>
      </c>
      <c r="G82" t="s">
        <v>44</v>
      </c>
      <c r="H82" t="s">
        <v>44</v>
      </c>
      <c r="I82" t="s">
        <v>434</v>
      </c>
      <c r="J82" t="s">
        <v>444</v>
      </c>
    </row>
    <row r="83" spans="1:10" x14ac:dyDescent="0.2">
      <c r="A83" t="s">
        <v>276</v>
      </c>
      <c r="B83" t="s">
        <v>277</v>
      </c>
      <c r="C83" t="s">
        <v>277</v>
      </c>
      <c r="D83" t="s">
        <v>219</v>
      </c>
      <c r="E83" t="s">
        <v>225</v>
      </c>
      <c r="F83" t="s">
        <v>276</v>
      </c>
      <c r="G83" t="s">
        <v>225</v>
      </c>
      <c r="H83" t="s">
        <v>225</v>
      </c>
      <c r="I83" t="s">
        <v>219</v>
      </c>
      <c r="J83" t="s">
        <v>277</v>
      </c>
    </row>
    <row r="84" spans="1:10" x14ac:dyDescent="0.2">
      <c r="A84" t="s">
        <v>99</v>
      </c>
      <c r="B84" t="s">
        <v>100</v>
      </c>
      <c r="C84" t="s">
        <v>100</v>
      </c>
      <c r="D84" t="s">
        <v>7</v>
      </c>
      <c r="E84" t="s">
        <v>97</v>
      </c>
      <c r="F84" t="s">
        <v>99</v>
      </c>
      <c r="G84" t="s">
        <v>97</v>
      </c>
      <c r="H84" t="s">
        <v>97</v>
      </c>
      <c r="I84" t="s">
        <v>7</v>
      </c>
      <c r="J84" t="s">
        <v>100</v>
      </c>
    </row>
    <row r="85" spans="1:10" x14ac:dyDescent="0.2">
      <c r="A85" t="s">
        <v>317</v>
      </c>
      <c r="B85" t="s">
        <v>318</v>
      </c>
      <c r="C85" t="s">
        <v>318</v>
      </c>
      <c r="D85" t="s">
        <v>219</v>
      </c>
      <c r="E85" t="s">
        <v>94</v>
      </c>
      <c r="F85" t="s">
        <v>317</v>
      </c>
      <c r="G85" t="s">
        <v>94</v>
      </c>
      <c r="H85" t="s">
        <v>94</v>
      </c>
      <c r="I85" t="s">
        <v>219</v>
      </c>
      <c r="J85" t="s">
        <v>318</v>
      </c>
    </row>
    <row r="86" spans="1:10" x14ac:dyDescent="0.2">
      <c r="A86" t="s">
        <v>344</v>
      </c>
      <c r="B86" t="s">
        <v>345</v>
      </c>
      <c r="C86" t="s">
        <v>345</v>
      </c>
      <c r="D86" t="s">
        <v>219</v>
      </c>
      <c r="E86" t="s">
        <v>94</v>
      </c>
      <c r="F86" t="s">
        <v>344</v>
      </c>
      <c r="G86" t="s">
        <v>94</v>
      </c>
      <c r="H86" t="s">
        <v>94</v>
      </c>
      <c r="I86" t="s">
        <v>219</v>
      </c>
      <c r="J86" t="s">
        <v>345</v>
      </c>
    </row>
    <row r="87" spans="1:10" x14ac:dyDescent="0.2">
      <c r="A87" t="s">
        <v>69</v>
      </c>
      <c r="B87" t="s">
        <v>70</v>
      </c>
      <c r="C87" t="s">
        <v>70</v>
      </c>
      <c r="D87" t="s">
        <v>59</v>
      </c>
      <c r="E87" t="s">
        <v>10</v>
      </c>
      <c r="F87" t="s">
        <v>69</v>
      </c>
      <c r="G87" t="s">
        <v>10</v>
      </c>
      <c r="H87" t="s">
        <v>10</v>
      </c>
      <c r="I87" t="s">
        <v>59</v>
      </c>
      <c r="J87" t="s">
        <v>70</v>
      </c>
    </row>
    <row r="88" spans="1:10" x14ac:dyDescent="0.2">
      <c r="A88" t="s">
        <v>143</v>
      </c>
      <c r="B88" t="s">
        <v>144</v>
      </c>
      <c r="C88" t="s">
        <v>144</v>
      </c>
      <c r="D88" t="s">
        <v>7</v>
      </c>
      <c r="E88" t="s">
        <v>135</v>
      </c>
      <c r="F88" t="s">
        <v>143</v>
      </c>
      <c r="G88" t="s">
        <v>135</v>
      </c>
      <c r="H88" t="s">
        <v>135</v>
      </c>
      <c r="I88" t="s">
        <v>7</v>
      </c>
      <c r="J88" t="s">
        <v>144</v>
      </c>
    </row>
    <row r="89" spans="1:10" x14ac:dyDescent="0.2">
      <c r="A89" t="s">
        <v>158</v>
      </c>
      <c r="B89" t="s">
        <v>160</v>
      </c>
      <c r="C89" t="s">
        <v>160</v>
      </c>
      <c r="D89" t="s">
        <v>7</v>
      </c>
      <c r="E89" t="s">
        <v>159</v>
      </c>
      <c r="F89" t="s">
        <v>158</v>
      </c>
      <c r="G89" t="s">
        <v>159</v>
      </c>
      <c r="H89" t="s">
        <v>159</v>
      </c>
      <c r="I89" t="s">
        <v>7</v>
      </c>
      <c r="J89" t="s">
        <v>160</v>
      </c>
    </row>
    <row r="90" spans="1:10" x14ac:dyDescent="0.2">
      <c r="A90" s="3"/>
      <c r="B90" s="3"/>
      <c r="C90" s="3"/>
      <c r="D90" s="3"/>
      <c r="E90" s="3"/>
      <c r="F90" t="s">
        <v>445</v>
      </c>
      <c r="G90" t="s">
        <v>216</v>
      </c>
      <c r="H90" t="s">
        <v>216</v>
      </c>
      <c r="I90" t="s">
        <v>434</v>
      </c>
      <c r="J90" t="s">
        <v>446</v>
      </c>
    </row>
    <row r="91" spans="1:10" x14ac:dyDescent="0.2">
      <c r="A91" t="s">
        <v>58</v>
      </c>
      <c r="B91" t="s">
        <v>60</v>
      </c>
      <c r="C91" t="s">
        <v>60</v>
      </c>
      <c r="D91" t="s">
        <v>59</v>
      </c>
      <c r="E91" t="s">
        <v>41</v>
      </c>
      <c r="F91" t="s">
        <v>58</v>
      </c>
      <c r="G91" t="s">
        <v>41</v>
      </c>
      <c r="H91" t="s">
        <v>41</v>
      </c>
      <c r="I91" t="s">
        <v>59</v>
      </c>
      <c r="J91" t="s">
        <v>60</v>
      </c>
    </row>
    <row r="92" spans="1:10" x14ac:dyDescent="0.2">
      <c r="A92" t="s">
        <v>179</v>
      </c>
      <c r="B92" t="s">
        <v>181</v>
      </c>
      <c r="C92" t="s">
        <v>181</v>
      </c>
      <c r="D92" t="s">
        <v>7</v>
      </c>
      <c r="E92" t="s">
        <v>180</v>
      </c>
      <c r="F92" t="s">
        <v>179</v>
      </c>
      <c r="G92" t="s">
        <v>180</v>
      </c>
      <c r="H92" t="s">
        <v>180</v>
      </c>
      <c r="I92" t="s">
        <v>7</v>
      </c>
      <c r="J92" t="s">
        <v>181</v>
      </c>
    </row>
    <row r="93" spans="1:10" x14ac:dyDescent="0.2">
      <c r="A93" t="s">
        <v>358</v>
      </c>
      <c r="B93" t="s">
        <v>359</v>
      </c>
      <c r="C93" t="s">
        <v>359</v>
      </c>
      <c r="D93" t="s">
        <v>349</v>
      </c>
      <c r="E93" t="s">
        <v>326</v>
      </c>
      <c r="F93" t="s">
        <v>358</v>
      </c>
      <c r="G93" t="s">
        <v>326</v>
      </c>
      <c r="H93" t="s">
        <v>327</v>
      </c>
      <c r="I93" t="s">
        <v>349</v>
      </c>
      <c r="J93" t="s">
        <v>359</v>
      </c>
    </row>
    <row r="94" spans="1:10" x14ac:dyDescent="0.2">
      <c r="A94" t="s">
        <v>237</v>
      </c>
      <c r="B94" t="s">
        <v>238</v>
      </c>
      <c r="C94" t="s">
        <v>238</v>
      </c>
      <c r="D94" t="s">
        <v>219</v>
      </c>
      <c r="E94" t="s">
        <v>113</v>
      </c>
      <c r="F94" t="s">
        <v>237</v>
      </c>
      <c r="G94" t="s">
        <v>113</v>
      </c>
      <c r="H94" t="s">
        <v>113</v>
      </c>
      <c r="I94" t="s">
        <v>219</v>
      </c>
      <c r="J94" t="s">
        <v>238</v>
      </c>
    </row>
    <row r="95" spans="1:10" x14ac:dyDescent="0.2">
      <c r="A95" t="s">
        <v>293</v>
      </c>
      <c r="B95" t="s">
        <v>295</v>
      </c>
      <c r="C95" t="s">
        <v>295</v>
      </c>
      <c r="D95" t="s">
        <v>219</v>
      </c>
      <c r="E95" t="s">
        <v>294</v>
      </c>
      <c r="F95" t="s">
        <v>293</v>
      </c>
      <c r="G95" t="s">
        <v>294</v>
      </c>
      <c r="H95" t="s">
        <v>294</v>
      </c>
      <c r="I95" t="s">
        <v>219</v>
      </c>
      <c r="J95" t="s">
        <v>295</v>
      </c>
    </row>
    <row r="96" spans="1:10" x14ac:dyDescent="0.2">
      <c r="A96" t="s">
        <v>313</v>
      </c>
      <c r="B96" t="s">
        <v>314</v>
      </c>
      <c r="C96" t="s">
        <v>314</v>
      </c>
      <c r="D96" t="s">
        <v>219</v>
      </c>
      <c r="E96" t="s">
        <v>309</v>
      </c>
      <c r="F96" t="s">
        <v>313</v>
      </c>
      <c r="G96" t="s">
        <v>309</v>
      </c>
      <c r="H96" t="s">
        <v>309</v>
      </c>
      <c r="I96" t="s">
        <v>219</v>
      </c>
      <c r="J96" t="s">
        <v>314</v>
      </c>
    </row>
    <row r="97" spans="1:10" x14ac:dyDescent="0.2">
      <c r="A97" t="s">
        <v>221</v>
      </c>
      <c r="B97" t="s">
        <v>223</v>
      </c>
      <c r="C97" t="s">
        <v>223</v>
      </c>
      <c r="D97" t="s">
        <v>219</v>
      </c>
      <c r="E97" t="s">
        <v>222</v>
      </c>
      <c r="F97" t="s">
        <v>221</v>
      </c>
      <c r="G97" t="s">
        <v>222</v>
      </c>
      <c r="H97" t="s">
        <v>222</v>
      </c>
      <c r="I97" t="s">
        <v>219</v>
      </c>
      <c r="J97" t="s">
        <v>223</v>
      </c>
    </row>
    <row r="98" spans="1:10" x14ac:dyDescent="0.2">
      <c r="A98" s="3"/>
      <c r="B98" s="3"/>
      <c r="C98" s="3"/>
      <c r="D98" s="3"/>
      <c r="E98" s="3"/>
      <c r="F98" t="s">
        <v>447</v>
      </c>
      <c r="G98" t="s">
        <v>448</v>
      </c>
      <c r="H98" t="s">
        <v>448</v>
      </c>
      <c r="I98" t="s">
        <v>449</v>
      </c>
      <c r="J98" t="s">
        <v>450</v>
      </c>
    </row>
    <row r="99" spans="1:10" x14ac:dyDescent="0.2">
      <c r="A99" t="s">
        <v>182</v>
      </c>
      <c r="B99" t="s">
        <v>183</v>
      </c>
      <c r="C99" t="s">
        <v>183</v>
      </c>
      <c r="D99" t="s">
        <v>7</v>
      </c>
      <c r="E99" t="s">
        <v>180</v>
      </c>
      <c r="F99" t="s">
        <v>182</v>
      </c>
      <c r="G99" t="s">
        <v>180</v>
      </c>
      <c r="H99" t="s">
        <v>180</v>
      </c>
      <c r="I99" t="s">
        <v>7</v>
      </c>
      <c r="J99" t="s">
        <v>183</v>
      </c>
    </row>
    <row r="100" spans="1:10" x14ac:dyDescent="0.2">
      <c r="A100" t="s">
        <v>381</v>
      </c>
      <c r="B100" t="s">
        <v>382</v>
      </c>
      <c r="C100" t="s">
        <v>382</v>
      </c>
      <c r="D100" t="s">
        <v>258</v>
      </c>
      <c r="E100" t="s">
        <v>218</v>
      </c>
      <c r="F100" t="s">
        <v>381</v>
      </c>
      <c r="G100" t="s">
        <v>218</v>
      </c>
      <c r="H100" t="s">
        <v>218</v>
      </c>
      <c r="I100" t="s">
        <v>258</v>
      </c>
      <c r="J100" t="s">
        <v>382</v>
      </c>
    </row>
    <row r="101" spans="1:10" x14ac:dyDescent="0.2">
      <c r="A101" t="s">
        <v>75</v>
      </c>
      <c r="B101" t="s">
        <v>77</v>
      </c>
      <c r="C101" t="s">
        <v>77</v>
      </c>
      <c r="D101" t="s">
        <v>59</v>
      </c>
      <c r="E101" t="s">
        <v>76</v>
      </c>
      <c r="F101" t="s">
        <v>75</v>
      </c>
      <c r="G101" t="s">
        <v>76</v>
      </c>
      <c r="H101" t="s">
        <v>76</v>
      </c>
      <c r="I101" t="s">
        <v>59</v>
      </c>
      <c r="J101" t="s">
        <v>77</v>
      </c>
    </row>
    <row r="102" spans="1:10" x14ac:dyDescent="0.2">
      <c r="A102" t="s">
        <v>253</v>
      </c>
      <c r="B102" t="s">
        <v>254</v>
      </c>
      <c r="C102" t="s">
        <v>254</v>
      </c>
      <c r="D102" t="s">
        <v>219</v>
      </c>
      <c r="E102" t="s">
        <v>97</v>
      </c>
      <c r="F102" t="s">
        <v>253</v>
      </c>
      <c r="G102" t="s">
        <v>97</v>
      </c>
      <c r="H102" t="s">
        <v>97</v>
      </c>
      <c r="I102" t="s">
        <v>219</v>
      </c>
      <c r="J102" t="s">
        <v>254</v>
      </c>
    </row>
    <row r="103" spans="1:10" x14ac:dyDescent="0.2">
      <c r="A103" t="s">
        <v>139</v>
      </c>
      <c r="B103" t="s">
        <v>140</v>
      </c>
      <c r="C103" t="s">
        <v>140</v>
      </c>
      <c r="D103" t="s">
        <v>7</v>
      </c>
      <c r="E103" t="s">
        <v>123</v>
      </c>
      <c r="F103" t="s">
        <v>139</v>
      </c>
      <c r="G103" t="s">
        <v>123</v>
      </c>
      <c r="H103" t="s">
        <v>123</v>
      </c>
      <c r="I103" t="s">
        <v>7</v>
      </c>
      <c r="J103" t="s">
        <v>140</v>
      </c>
    </row>
    <row r="104" spans="1:10" x14ac:dyDescent="0.2">
      <c r="A104" t="s">
        <v>152</v>
      </c>
      <c r="B104" t="s">
        <v>153</v>
      </c>
      <c r="C104" t="s">
        <v>153</v>
      </c>
      <c r="D104" t="s">
        <v>7</v>
      </c>
      <c r="E104" t="s">
        <v>123</v>
      </c>
      <c r="F104" t="s">
        <v>152</v>
      </c>
      <c r="G104" t="s">
        <v>123</v>
      </c>
      <c r="H104" t="s">
        <v>123</v>
      </c>
      <c r="I104" t="s">
        <v>7</v>
      </c>
      <c r="J104" t="s">
        <v>153</v>
      </c>
    </row>
    <row r="105" spans="1:10" x14ac:dyDescent="0.2">
      <c r="A105" t="s">
        <v>103</v>
      </c>
      <c r="B105" t="s">
        <v>104</v>
      </c>
      <c r="C105" t="s">
        <v>104</v>
      </c>
      <c r="D105" t="s">
        <v>7</v>
      </c>
      <c r="E105" t="s">
        <v>97</v>
      </c>
      <c r="F105" t="s">
        <v>103</v>
      </c>
      <c r="G105" t="s">
        <v>97</v>
      </c>
      <c r="H105" t="s">
        <v>97</v>
      </c>
      <c r="I105" t="s">
        <v>7</v>
      </c>
      <c r="J105" t="s">
        <v>104</v>
      </c>
    </row>
    <row r="106" spans="1:10" x14ac:dyDescent="0.2">
      <c r="A106" t="s">
        <v>12</v>
      </c>
      <c r="B106" t="s">
        <v>14</v>
      </c>
      <c r="C106" t="s">
        <v>14</v>
      </c>
      <c r="D106" t="s">
        <v>7</v>
      </c>
      <c r="E106" t="s">
        <v>13</v>
      </c>
      <c r="F106" t="s">
        <v>12</v>
      </c>
      <c r="G106" t="s">
        <v>13</v>
      </c>
      <c r="H106" t="s">
        <v>13</v>
      </c>
      <c r="I106" t="s">
        <v>7</v>
      </c>
      <c r="J106" t="s">
        <v>14</v>
      </c>
    </row>
    <row r="107" spans="1:10" x14ac:dyDescent="0.2">
      <c r="A107" s="3"/>
      <c r="B107" s="3"/>
      <c r="C107" s="3"/>
      <c r="D107" s="3"/>
      <c r="E107" s="3"/>
      <c r="F107" t="s">
        <v>451</v>
      </c>
      <c r="G107" t="s">
        <v>452</v>
      </c>
      <c r="H107" t="s">
        <v>452</v>
      </c>
      <c r="I107" t="s">
        <v>441</v>
      </c>
      <c r="J107" t="s">
        <v>453</v>
      </c>
    </row>
    <row r="108" spans="1:10" x14ac:dyDescent="0.2">
      <c r="A108" t="s">
        <v>383</v>
      </c>
      <c r="B108" t="s">
        <v>385</v>
      </c>
      <c r="C108" t="s">
        <v>385</v>
      </c>
      <c r="D108" t="s">
        <v>258</v>
      </c>
      <c r="E108" t="s">
        <v>384</v>
      </c>
      <c r="F108" t="s">
        <v>383</v>
      </c>
      <c r="G108" t="s">
        <v>384</v>
      </c>
      <c r="H108" t="s">
        <v>384</v>
      </c>
      <c r="I108" t="s">
        <v>258</v>
      </c>
      <c r="J108" t="s">
        <v>385</v>
      </c>
    </row>
    <row r="109" spans="1:10" x14ac:dyDescent="0.2">
      <c r="A109" t="s">
        <v>243</v>
      </c>
      <c r="B109" t="s">
        <v>245</v>
      </c>
      <c r="C109" t="s">
        <v>245</v>
      </c>
      <c r="D109" t="s">
        <v>219</v>
      </c>
      <c r="E109" t="s">
        <v>244</v>
      </c>
      <c r="F109" t="s">
        <v>243</v>
      </c>
      <c r="G109" t="s">
        <v>244</v>
      </c>
      <c r="H109" t="s">
        <v>244</v>
      </c>
      <c r="I109" t="s">
        <v>219</v>
      </c>
      <c r="J109" t="s">
        <v>245</v>
      </c>
    </row>
    <row r="110" spans="1:10" x14ac:dyDescent="0.2">
      <c r="A110" t="s">
        <v>67</v>
      </c>
      <c r="B110" t="s">
        <v>68</v>
      </c>
      <c r="C110" t="s">
        <v>68</v>
      </c>
      <c r="D110" t="s">
        <v>59</v>
      </c>
      <c r="E110" t="s">
        <v>10</v>
      </c>
      <c r="F110" t="s">
        <v>67</v>
      </c>
      <c r="G110" t="s">
        <v>10</v>
      </c>
      <c r="H110" t="s">
        <v>10</v>
      </c>
      <c r="I110" t="s">
        <v>59</v>
      </c>
      <c r="J110" t="s">
        <v>68</v>
      </c>
    </row>
    <row r="111" spans="1:10" x14ac:dyDescent="0.2">
      <c r="A111" t="s">
        <v>71</v>
      </c>
      <c r="B111" t="s">
        <v>72</v>
      </c>
      <c r="C111" t="s">
        <v>72</v>
      </c>
      <c r="D111" t="s">
        <v>59</v>
      </c>
      <c r="E111" t="s">
        <v>10</v>
      </c>
      <c r="F111" t="s">
        <v>71</v>
      </c>
      <c r="G111" t="s">
        <v>10</v>
      </c>
      <c r="H111" t="s">
        <v>10</v>
      </c>
      <c r="I111" t="s">
        <v>59</v>
      </c>
      <c r="J111" t="s">
        <v>72</v>
      </c>
    </row>
    <row r="112" spans="1:10" x14ac:dyDescent="0.2">
      <c r="A112" t="s">
        <v>154</v>
      </c>
      <c r="B112" t="s">
        <v>155</v>
      </c>
      <c r="C112" t="s">
        <v>155</v>
      </c>
      <c r="D112" t="s">
        <v>7</v>
      </c>
      <c r="E112" t="s">
        <v>13</v>
      </c>
      <c r="F112" t="s">
        <v>154</v>
      </c>
      <c r="G112" t="s">
        <v>13</v>
      </c>
      <c r="H112" t="s">
        <v>13</v>
      </c>
      <c r="I112" t="s">
        <v>7</v>
      </c>
      <c r="J112" t="s">
        <v>155</v>
      </c>
    </row>
    <row r="113" spans="1:10" x14ac:dyDescent="0.2">
      <c r="A113" t="s">
        <v>370</v>
      </c>
      <c r="B113" t="s">
        <v>371</v>
      </c>
      <c r="C113" t="s">
        <v>371</v>
      </c>
      <c r="D113" t="s">
        <v>258</v>
      </c>
      <c r="E113" t="s">
        <v>294</v>
      </c>
      <c r="F113" t="s">
        <v>370</v>
      </c>
      <c r="G113" t="s">
        <v>294</v>
      </c>
      <c r="H113" t="s">
        <v>294</v>
      </c>
      <c r="I113" t="s">
        <v>258</v>
      </c>
      <c r="J113" t="s">
        <v>371</v>
      </c>
    </row>
    <row r="114" spans="1:10" x14ac:dyDescent="0.2">
      <c r="A114" t="s">
        <v>20</v>
      </c>
      <c r="B114" t="s">
        <v>23</v>
      </c>
      <c r="C114" t="s">
        <v>23</v>
      </c>
      <c r="D114" t="s">
        <v>7</v>
      </c>
      <c r="E114" t="s">
        <v>21</v>
      </c>
      <c r="F114" t="s">
        <v>20</v>
      </c>
      <c r="G114" t="s">
        <v>21</v>
      </c>
      <c r="H114" t="s">
        <v>22</v>
      </c>
      <c r="I114" t="s">
        <v>7</v>
      </c>
      <c r="J114" t="s">
        <v>23</v>
      </c>
    </row>
    <row r="115" spans="1:10" x14ac:dyDescent="0.2">
      <c r="A115" t="s">
        <v>35</v>
      </c>
      <c r="B115" t="s">
        <v>36</v>
      </c>
      <c r="C115" t="s">
        <v>36</v>
      </c>
      <c r="D115" t="s">
        <v>7</v>
      </c>
      <c r="E115" t="s">
        <v>21</v>
      </c>
      <c r="F115" t="s">
        <v>35</v>
      </c>
      <c r="G115" t="s">
        <v>21</v>
      </c>
      <c r="H115" t="s">
        <v>22</v>
      </c>
      <c r="I115" t="s">
        <v>7</v>
      </c>
      <c r="J115" t="s">
        <v>36</v>
      </c>
    </row>
    <row r="116" spans="1:10" x14ac:dyDescent="0.2">
      <c r="A116" t="s">
        <v>404</v>
      </c>
      <c r="B116" t="s">
        <v>405</v>
      </c>
      <c r="C116" t="s">
        <v>405</v>
      </c>
      <c r="D116" t="s">
        <v>258</v>
      </c>
      <c r="E116" t="s">
        <v>135</v>
      </c>
      <c r="F116" t="s">
        <v>404</v>
      </c>
      <c r="G116" t="s">
        <v>135</v>
      </c>
      <c r="H116" t="s">
        <v>135</v>
      </c>
      <c r="I116" t="s">
        <v>258</v>
      </c>
      <c r="J116" t="s">
        <v>405</v>
      </c>
    </row>
    <row r="117" spans="1:10" x14ac:dyDescent="0.2">
      <c r="A117" t="s">
        <v>346</v>
      </c>
      <c r="B117" t="s">
        <v>347</v>
      </c>
      <c r="C117" t="s">
        <v>347</v>
      </c>
      <c r="D117" t="s">
        <v>219</v>
      </c>
      <c r="E117" t="s">
        <v>123</v>
      </c>
      <c r="F117" t="s">
        <v>346</v>
      </c>
      <c r="G117" t="s">
        <v>123</v>
      </c>
      <c r="H117" t="s">
        <v>123</v>
      </c>
      <c r="I117" t="s">
        <v>219</v>
      </c>
      <c r="J117" t="s">
        <v>347</v>
      </c>
    </row>
    <row r="118" spans="1:10" x14ac:dyDescent="0.2">
      <c r="A118" t="s">
        <v>298</v>
      </c>
      <c r="B118" t="s">
        <v>299</v>
      </c>
      <c r="C118" t="s">
        <v>299</v>
      </c>
      <c r="D118" t="s">
        <v>219</v>
      </c>
      <c r="E118" t="s">
        <v>123</v>
      </c>
      <c r="F118" t="s">
        <v>298</v>
      </c>
      <c r="G118" t="s">
        <v>123</v>
      </c>
      <c r="H118" t="s">
        <v>123</v>
      </c>
      <c r="I118" t="s">
        <v>219</v>
      </c>
      <c r="J118" t="s">
        <v>299</v>
      </c>
    </row>
    <row r="119" spans="1:10" x14ac:dyDescent="0.2">
      <c r="A119" t="s">
        <v>267</v>
      </c>
      <c r="B119" t="s">
        <v>268</v>
      </c>
      <c r="C119" t="s">
        <v>268</v>
      </c>
      <c r="D119" t="s">
        <v>219</v>
      </c>
      <c r="E119" t="s">
        <v>47</v>
      </c>
      <c r="F119" t="s">
        <v>267</v>
      </c>
      <c r="G119" t="s">
        <v>47</v>
      </c>
      <c r="H119" t="s">
        <v>48</v>
      </c>
      <c r="I119" t="s">
        <v>219</v>
      </c>
      <c r="J119" t="s">
        <v>268</v>
      </c>
    </row>
    <row r="120" spans="1:10" x14ac:dyDescent="0.2">
      <c r="A120" t="s">
        <v>129</v>
      </c>
      <c r="B120" t="s">
        <v>130</v>
      </c>
      <c r="C120" t="s">
        <v>130</v>
      </c>
      <c r="D120" t="s">
        <v>7</v>
      </c>
      <c r="E120" t="s">
        <v>123</v>
      </c>
      <c r="F120" t="s">
        <v>129</v>
      </c>
      <c r="G120" t="s">
        <v>123</v>
      </c>
      <c r="H120" t="s">
        <v>123</v>
      </c>
      <c r="I120" t="s">
        <v>7</v>
      </c>
      <c r="J120" t="s">
        <v>130</v>
      </c>
    </row>
    <row r="121" spans="1:10" x14ac:dyDescent="0.2">
      <c r="A121" s="3"/>
      <c r="B121" s="3"/>
      <c r="C121" s="3"/>
      <c r="D121" s="3"/>
      <c r="E121" s="3"/>
      <c r="F121" t="s">
        <v>454</v>
      </c>
      <c r="G121" t="s">
        <v>216</v>
      </c>
      <c r="H121" t="s">
        <v>216</v>
      </c>
      <c r="I121" t="s">
        <v>434</v>
      </c>
      <c r="J121" t="s">
        <v>455</v>
      </c>
    </row>
    <row r="122" spans="1:10" x14ac:dyDescent="0.2">
      <c r="A122" t="s">
        <v>148</v>
      </c>
      <c r="B122" t="s">
        <v>149</v>
      </c>
      <c r="C122" t="s">
        <v>149</v>
      </c>
      <c r="D122" t="s">
        <v>7</v>
      </c>
      <c r="E122" t="s">
        <v>135</v>
      </c>
      <c r="F122" t="s">
        <v>148</v>
      </c>
      <c r="G122" t="s">
        <v>135</v>
      </c>
      <c r="H122" t="s">
        <v>135</v>
      </c>
      <c r="I122" t="s">
        <v>7</v>
      </c>
      <c r="J122" t="s">
        <v>149</v>
      </c>
    </row>
    <row r="123" spans="1:10" x14ac:dyDescent="0.2">
      <c r="A123" t="s">
        <v>134</v>
      </c>
      <c r="B123" t="s">
        <v>136</v>
      </c>
      <c r="C123" t="s">
        <v>136</v>
      </c>
      <c r="D123" t="s">
        <v>7</v>
      </c>
      <c r="E123" t="s">
        <v>135</v>
      </c>
      <c r="F123" t="s">
        <v>134</v>
      </c>
      <c r="G123" t="s">
        <v>135</v>
      </c>
      <c r="H123" t="s">
        <v>135</v>
      </c>
      <c r="I123" t="s">
        <v>7</v>
      </c>
      <c r="J123" t="s">
        <v>136</v>
      </c>
    </row>
    <row r="124" spans="1:10" x14ac:dyDescent="0.2">
      <c r="A124" t="s">
        <v>233</v>
      </c>
      <c r="B124" t="s">
        <v>234</v>
      </c>
      <c r="C124" t="s">
        <v>234</v>
      </c>
      <c r="D124" t="s">
        <v>219</v>
      </c>
      <c r="E124" t="s">
        <v>135</v>
      </c>
      <c r="F124" t="s">
        <v>233</v>
      </c>
      <c r="G124" t="s">
        <v>135</v>
      </c>
      <c r="H124" t="s">
        <v>135</v>
      </c>
      <c r="I124" t="s">
        <v>219</v>
      </c>
      <c r="J124" t="s">
        <v>234</v>
      </c>
    </row>
    <row r="125" spans="1:10" x14ac:dyDescent="0.2">
      <c r="A125" t="s">
        <v>93</v>
      </c>
      <c r="B125" t="s">
        <v>95</v>
      </c>
      <c r="C125" t="s">
        <v>95</v>
      </c>
      <c r="D125" t="s">
        <v>7</v>
      </c>
      <c r="E125" t="s">
        <v>94</v>
      </c>
      <c r="F125" t="s">
        <v>93</v>
      </c>
      <c r="G125" t="s">
        <v>94</v>
      </c>
      <c r="H125" t="s">
        <v>94</v>
      </c>
      <c r="I125" t="s">
        <v>7</v>
      </c>
      <c r="J125" t="s">
        <v>95</v>
      </c>
    </row>
    <row r="126" spans="1:10" x14ac:dyDescent="0.2">
      <c r="A126" s="3"/>
      <c r="B126" s="3"/>
      <c r="C126" s="3"/>
      <c r="D126" s="3"/>
      <c r="E126" s="3"/>
      <c r="F126" t="s">
        <v>456</v>
      </c>
      <c r="G126" t="s">
        <v>94</v>
      </c>
      <c r="H126" t="s">
        <v>94</v>
      </c>
      <c r="I126" t="s">
        <v>441</v>
      </c>
      <c r="J126" t="s">
        <v>457</v>
      </c>
    </row>
    <row r="127" spans="1:10" x14ac:dyDescent="0.2">
      <c r="A127" t="s">
        <v>300</v>
      </c>
      <c r="B127" t="s">
        <v>301</v>
      </c>
      <c r="C127" t="s">
        <v>301</v>
      </c>
      <c r="D127" t="s">
        <v>219</v>
      </c>
      <c r="E127" t="s">
        <v>261</v>
      </c>
      <c r="F127" t="s">
        <v>300</v>
      </c>
      <c r="G127" t="s">
        <v>261</v>
      </c>
      <c r="H127" t="s">
        <v>261</v>
      </c>
      <c r="I127" t="s">
        <v>219</v>
      </c>
      <c r="J127" t="s">
        <v>301</v>
      </c>
    </row>
    <row r="128" spans="1:10" x14ac:dyDescent="0.2">
      <c r="A128" t="s">
        <v>260</v>
      </c>
      <c r="B128" t="s">
        <v>262</v>
      </c>
      <c r="C128" t="s">
        <v>262</v>
      </c>
      <c r="D128" t="s">
        <v>219</v>
      </c>
      <c r="E128" t="s">
        <v>261</v>
      </c>
      <c r="F128" t="s">
        <v>260</v>
      </c>
      <c r="G128" t="s">
        <v>261</v>
      </c>
      <c r="H128" t="s">
        <v>261</v>
      </c>
      <c r="I128" t="s">
        <v>219</v>
      </c>
      <c r="J128" t="s">
        <v>262</v>
      </c>
    </row>
    <row r="129" spans="1:10" x14ac:dyDescent="0.2">
      <c r="A129" t="s">
        <v>400</v>
      </c>
      <c r="B129" t="s">
        <v>401</v>
      </c>
      <c r="C129" t="s">
        <v>401</v>
      </c>
      <c r="D129" t="s">
        <v>258</v>
      </c>
      <c r="E129" t="s">
        <v>261</v>
      </c>
      <c r="F129" t="s">
        <v>400</v>
      </c>
      <c r="G129" t="s">
        <v>261</v>
      </c>
      <c r="H129" t="s">
        <v>261</v>
      </c>
      <c r="I129" t="s">
        <v>258</v>
      </c>
      <c r="J129" t="s">
        <v>401</v>
      </c>
    </row>
    <row r="130" spans="1:10" x14ac:dyDescent="0.2">
      <c r="A130" t="s">
        <v>287</v>
      </c>
      <c r="B130" t="s">
        <v>288</v>
      </c>
      <c r="C130" t="s">
        <v>288</v>
      </c>
      <c r="D130" t="s">
        <v>219</v>
      </c>
      <c r="E130" t="s">
        <v>261</v>
      </c>
      <c r="F130" t="s">
        <v>287</v>
      </c>
      <c r="G130" t="s">
        <v>261</v>
      </c>
      <c r="H130" t="s">
        <v>261</v>
      </c>
      <c r="I130" t="s">
        <v>219</v>
      </c>
      <c r="J130" t="s">
        <v>288</v>
      </c>
    </row>
    <row r="131" spans="1:10" x14ac:dyDescent="0.2">
      <c r="A131" t="s">
        <v>285</v>
      </c>
      <c r="B131" t="s">
        <v>286</v>
      </c>
      <c r="C131" t="s">
        <v>286</v>
      </c>
      <c r="D131" t="s">
        <v>219</v>
      </c>
      <c r="E131" t="s">
        <v>261</v>
      </c>
      <c r="F131" t="s">
        <v>285</v>
      </c>
      <c r="G131" t="s">
        <v>261</v>
      </c>
      <c r="H131" t="s">
        <v>261</v>
      </c>
      <c r="I131" t="s">
        <v>219</v>
      </c>
      <c r="J131" t="s">
        <v>286</v>
      </c>
    </row>
    <row r="132" spans="1:10" x14ac:dyDescent="0.2">
      <c r="A132" t="s">
        <v>33</v>
      </c>
      <c r="B132" t="s">
        <v>34</v>
      </c>
      <c r="C132" t="s">
        <v>34</v>
      </c>
      <c r="D132" t="s">
        <v>7</v>
      </c>
      <c r="E132" t="s">
        <v>31</v>
      </c>
      <c r="F132" t="s">
        <v>33</v>
      </c>
      <c r="G132" t="s">
        <v>31</v>
      </c>
      <c r="H132" t="s">
        <v>31</v>
      </c>
      <c r="I132" t="s">
        <v>7</v>
      </c>
      <c r="J132" t="s">
        <v>34</v>
      </c>
    </row>
    <row r="133" spans="1:10" x14ac:dyDescent="0.2">
      <c r="A133" s="3"/>
      <c r="B133" s="3"/>
      <c r="C133" s="3"/>
      <c r="D133" s="3"/>
      <c r="E133" s="3"/>
      <c r="F133" t="s">
        <v>458</v>
      </c>
      <c r="G133" t="s">
        <v>79</v>
      </c>
      <c r="H133" t="s">
        <v>79</v>
      </c>
      <c r="I133" t="s">
        <v>434</v>
      </c>
      <c r="J133" t="s">
        <v>459</v>
      </c>
    </row>
    <row r="134" spans="1:10" x14ac:dyDescent="0.2">
      <c r="A134" t="s">
        <v>33</v>
      </c>
      <c r="B134" t="s">
        <v>220</v>
      </c>
      <c r="C134" t="s">
        <v>220</v>
      </c>
      <c r="D134" t="s">
        <v>219</v>
      </c>
      <c r="E134" t="s">
        <v>218</v>
      </c>
      <c r="F134" t="s">
        <v>33</v>
      </c>
      <c r="G134" t="s">
        <v>218</v>
      </c>
      <c r="H134" t="s">
        <v>218</v>
      </c>
      <c r="I134" t="s">
        <v>219</v>
      </c>
      <c r="J134" t="s">
        <v>220</v>
      </c>
    </row>
    <row r="135" spans="1:10" x14ac:dyDescent="0.2">
      <c r="A135" t="s">
        <v>296</v>
      </c>
      <c r="B135" t="s">
        <v>297</v>
      </c>
      <c r="C135" t="s">
        <v>297</v>
      </c>
      <c r="D135" t="s">
        <v>219</v>
      </c>
      <c r="E135" t="s">
        <v>159</v>
      </c>
      <c r="F135" t="s">
        <v>296</v>
      </c>
      <c r="G135" t="s">
        <v>159</v>
      </c>
      <c r="H135" t="s">
        <v>159</v>
      </c>
      <c r="I135" t="s">
        <v>219</v>
      </c>
      <c r="J135" t="s">
        <v>297</v>
      </c>
    </row>
    <row r="136" spans="1:10" x14ac:dyDescent="0.2">
      <c r="A136" t="s">
        <v>289</v>
      </c>
      <c r="B136" t="s">
        <v>290</v>
      </c>
      <c r="C136" t="s">
        <v>290</v>
      </c>
      <c r="D136" t="s">
        <v>219</v>
      </c>
      <c r="E136" t="s">
        <v>159</v>
      </c>
      <c r="F136" t="s">
        <v>289</v>
      </c>
      <c r="G136" t="s">
        <v>159</v>
      </c>
      <c r="H136" t="s">
        <v>159</v>
      </c>
      <c r="I136" t="s">
        <v>219</v>
      </c>
      <c r="J136" t="s">
        <v>290</v>
      </c>
    </row>
    <row r="137" spans="1:10" x14ac:dyDescent="0.2">
      <c r="A137" t="s">
        <v>9</v>
      </c>
      <c r="B137" t="s">
        <v>11</v>
      </c>
      <c r="C137" t="s">
        <v>11</v>
      </c>
      <c r="D137" t="s">
        <v>7</v>
      </c>
      <c r="E137" t="s">
        <v>10</v>
      </c>
      <c r="F137" t="s">
        <v>9</v>
      </c>
      <c r="G137" t="s">
        <v>10</v>
      </c>
      <c r="H137" t="s">
        <v>10</v>
      </c>
      <c r="I137" t="s">
        <v>7</v>
      </c>
      <c r="J137" t="s">
        <v>11</v>
      </c>
    </row>
    <row r="138" spans="1:10" x14ac:dyDescent="0.2">
      <c r="A138" t="s">
        <v>88</v>
      </c>
      <c r="B138" t="s">
        <v>89</v>
      </c>
      <c r="C138" t="s">
        <v>89</v>
      </c>
      <c r="D138" t="s">
        <v>59</v>
      </c>
      <c r="E138" t="s">
        <v>86</v>
      </c>
      <c r="F138" t="s">
        <v>88</v>
      </c>
      <c r="G138" t="s">
        <v>86</v>
      </c>
      <c r="H138" t="s">
        <v>86</v>
      </c>
      <c r="I138" t="s">
        <v>59</v>
      </c>
      <c r="J138" t="s">
        <v>89</v>
      </c>
    </row>
    <row r="139" spans="1:10" x14ac:dyDescent="0.2">
      <c r="A139" t="s">
        <v>88</v>
      </c>
      <c r="B139" t="s">
        <v>119</v>
      </c>
      <c r="C139" t="s">
        <v>119</v>
      </c>
      <c r="D139" t="s">
        <v>7</v>
      </c>
      <c r="E139" t="s">
        <v>113</v>
      </c>
      <c r="F139" t="s">
        <v>88</v>
      </c>
      <c r="G139" t="s">
        <v>113</v>
      </c>
      <c r="H139" t="s">
        <v>113</v>
      </c>
      <c r="I139" t="s">
        <v>7</v>
      </c>
      <c r="J139" t="s">
        <v>119</v>
      </c>
    </row>
    <row r="140" spans="1:10" x14ac:dyDescent="0.2">
      <c r="A140" t="s">
        <v>88</v>
      </c>
      <c r="B140" t="s">
        <v>185</v>
      </c>
      <c r="C140" t="s">
        <v>185</v>
      </c>
      <c r="D140" t="s">
        <v>7</v>
      </c>
      <c r="E140" t="s">
        <v>184</v>
      </c>
      <c r="F140" t="s">
        <v>88</v>
      </c>
      <c r="G140" t="s">
        <v>184</v>
      </c>
      <c r="H140" t="s">
        <v>184</v>
      </c>
      <c r="I140" t="s">
        <v>7</v>
      </c>
      <c r="J140" t="s">
        <v>185</v>
      </c>
    </row>
    <row r="141" spans="1:10" x14ac:dyDescent="0.2">
      <c r="A141" t="s">
        <v>354</v>
      </c>
      <c r="B141" t="s">
        <v>357</v>
      </c>
      <c r="C141" t="s">
        <v>357</v>
      </c>
      <c r="D141" t="s">
        <v>349</v>
      </c>
      <c r="E141" t="s">
        <v>355</v>
      </c>
      <c r="F141" t="s">
        <v>354</v>
      </c>
      <c r="G141" t="s">
        <v>355</v>
      </c>
      <c r="H141" t="s">
        <v>356</v>
      </c>
      <c r="I141" t="s">
        <v>349</v>
      </c>
      <c r="J141" t="s">
        <v>357</v>
      </c>
    </row>
    <row r="142" spans="1:10" x14ac:dyDescent="0.2">
      <c r="A142" t="s">
        <v>141</v>
      </c>
      <c r="B142" t="s">
        <v>142</v>
      </c>
      <c r="C142" t="s">
        <v>142</v>
      </c>
      <c r="D142" t="s">
        <v>7</v>
      </c>
      <c r="E142" t="s">
        <v>47</v>
      </c>
      <c r="F142" t="s">
        <v>141</v>
      </c>
      <c r="G142" t="s">
        <v>47</v>
      </c>
      <c r="H142" t="s">
        <v>48</v>
      </c>
      <c r="I142" t="s">
        <v>7</v>
      </c>
      <c r="J142" t="s">
        <v>142</v>
      </c>
    </row>
    <row r="143" spans="1:10" x14ac:dyDescent="0.2">
      <c r="A143" t="s">
        <v>283</v>
      </c>
      <c r="B143" t="s">
        <v>284</v>
      </c>
      <c r="C143" t="s">
        <v>284</v>
      </c>
      <c r="D143" t="s">
        <v>219</v>
      </c>
      <c r="E143" t="s">
        <v>180</v>
      </c>
      <c r="F143" t="s">
        <v>283</v>
      </c>
      <c r="G143" t="s">
        <v>180</v>
      </c>
      <c r="H143" t="s">
        <v>180</v>
      </c>
      <c r="I143" t="s">
        <v>219</v>
      </c>
      <c r="J143" t="s">
        <v>284</v>
      </c>
    </row>
    <row r="144" spans="1:10" x14ac:dyDescent="0.2">
      <c r="A144" t="s">
        <v>319</v>
      </c>
      <c r="B144" t="s">
        <v>320</v>
      </c>
      <c r="C144" t="s">
        <v>320</v>
      </c>
      <c r="D144" t="s">
        <v>219</v>
      </c>
      <c r="E144" t="s">
        <v>126</v>
      </c>
      <c r="F144" t="s">
        <v>319</v>
      </c>
      <c r="G144" t="s">
        <v>126</v>
      </c>
      <c r="H144" t="s">
        <v>127</v>
      </c>
      <c r="I144" t="s">
        <v>219</v>
      </c>
      <c r="J144" t="s">
        <v>320</v>
      </c>
    </row>
    <row r="145" spans="1:10" x14ac:dyDescent="0.2">
      <c r="A145" t="s">
        <v>269</v>
      </c>
      <c r="B145" t="s">
        <v>271</v>
      </c>
      <c r="C145" t="s">
        <v>271</v>
      </c>
      <c r="D145" t="s">
        <v>219</v>
      </c>
      <c r="E145" t="s">
        <v>270</v>
      </c>
      <c r="F145" t="s">
        <v>269</v>
      </c>
      <c r="G145" t="s">
        <v>270</v>
      </c>
      <c r="H145" t="s">
        <v>270</v>
      </c>
      <c r="I145" t="s">
        <v>219</v>
      </c>
      <c r="J145" t="s">
        <v>271</v>
      </c>
    </row>
    <row r="146" spans="1:10" x14ac:dyDescent="0.2">
      <c r="A146" t="s">
        <v>272</v>
      </c>
      <c r="B146" t="s">
        <v>273</v>
      </c>
      <c r="C146" t="s">
        <v>273</v>
      </c>
      <c r="D146" t="s">
        <v>219</v>
      </c>
      <c r="E146" t="s">
        <v>225</v>
      </c>
      <c r="F146" t="s">
        <v>272</v>
      </c>
      <c r="G146" t="s">
        <v>225</v>
      </c>
      <c r="H146" t="s">
        <v>225</v>
      </c>
      <c r="I146" t="s">
        <v>219</v>
      </c>
      <c r="J146" t="s">
        <v>273</v>
      </c>
    </row>
    <row r="147" spans="1:10" x14ac:dyDescent="0.2">
      <c r="A147" t="s">
        <v>388</v>
      </c>
      <c r="B147" t="s">
        <v>389</v>
      </c>
      <c r="C147" t="s">
        <v>389</v>
      </c>
      <c r="D147" t="s">
        <v>258</v>
      </c>
      <c r="E147" t="s">
        <v>229</v>
      </c>
      <c r="F147" t="s">
        <v>388</v>
      </c>
      <c r="G147" t="s">
        <v>229</v>
      </c>
      <c r="H147" t="s">
        <v>230</v>
      </c>
      <c r="I147" t="s">
        <v>258</v>
      </c>
      <c r="J147" t="s">
        <v>389</v>
      </c>
    </row>
    <row r="148" spans="1:10" x14ac:dyDescent="0.2">
      <c r="A148" t="s">
        <v>325</v>
      </c>
      <c r="B148" t="s">
        <v>329</v>
      </c>
      <c r="C148" t="s">
        <v>329</v>
      </c>
      <c r="D148" t="s">
        <v>328</v>
      </c>
      <c r="E148" t="s">
        <v>326</v>
      </c>
      <c r="F148" s="3"/>
      <c r="G148" s="3"/>
      <c r="H148" s="3"/>
      <c r="I148" s="3"/>
      <c r="J148" s="3"/>
    </row>
    <row r="149" spans="1:10" x14ac:dyDescent="0.2">
      <c r="A149" s="3"/>
      <c r="B149" s="3"/>
      <c r="C149" s="3"/>
      <c r="D149" s="3"/>
      <c r="E149" s="3"/>
      <c r="F149" t="s">
        <v>460</v>
      </c>
      <c r="G149" t="s">
        <v>461</v>
      </c>
      <c r="H149" t="s">
        <v>461</v>
      </c>
      <c r="I149" t="s">
        <v>434</v>
      </c>
      <c r="J149" t="s">
        <v>462</v>
      </c>
    </row>
    <row r="150" spans="1:10" x14ac:dyDescent="0.2">
      <c r="A150" s="3"/>
      <c r="B150" s="3"/>
      <c r="C150" s="3"/>
      <c r="D150" s="3"/>
      <c r="E150" s="3"/>
      <c r="F150" t="s">
        <v>463</v>
      </c>
      <c r="G150" t="s">
        <v>216</v>
      </c>
      <c r="H150" t="s">
        <v>216</v>
      </c>
      <c r="I150" t="s">
        <v>434</v>
      </c>
      <c r="J150" t="s">
        <v>464</v>
      </c>
    </row>
    <row r="151" spans="1:10" x14ac:dyDescent="0.2">
      <c r="A151" s="3"/>
      <c r="B151" s="3"/>
      <c r="C151" s="3"/>
      <c r="D151" s="3"/>
      <c r="E151" s="3"/>
      <c r="F151" t="s">
        <v>325</v>
      </c>
      <c r="G151" t="s">
        <v>326</v>
      </c>
      <c r="H151" t="s">
        <v>327</v>
      </c>
      <c r="I151" t="s">
        <v>328</v>
      </c>
      <c r="J151" t="s">
        <v>329</v>
      </c>
    </row>
    <row r="152" spans="1:10" x14ac:dyDescent="0.2">
      <c r="A152" s="3"/>
      <c r="B152" s="3"/>
      <c r="C152" s="3"/>
      <c r="D152" s="3"/>
      <c r="E152" s="3"/>
      <c r="F152" t="s">
        <v>465</v>
      </c>
      <c r="G152" t="s">
        <v>466</v>
      </c>
      <c r="H152" t="s">
        <v>466</v>
      </c>
      <c r="I152" t="s">
        <v>414</v>
      </c>
      <c r="J152" s="2" t="s">
        <v>467</v>
      </c>
    </row>
    <row r="153" spans="1:10" x14ac:dyDescent="0.2">
      <c r="A153" t="s">
        <v>175</v>
      </c>
      <c r="B153" t="s">
        <v>176</v>
      </c>
      <c r="C153" t="s">
        <v>176</v>
      </c>
      <c r="D153" t="s">
        <v>7</v>
      </c>
      <c r="E153" t="s">
        <v>97</v>
      </c>
      <c r="F153" t="s">
        <v>175</v>
      </c>
      <c r="G153" t="s">
        <v>97</v>
      </c>
      <c r="H153" t="s">
        <v>97</v>
      </c>
      <c r="I153" t="s">
        <v>7</v>
      </c>
      <c r="J153" t="s">
        <v>176</v>
      </c>
    </row>
    <row r="154" spans="1:10" x14ac:dyDescent="0.2">
      <c r="A154" t="s">
        <v>101</v>
      </c>
      <c r="B154" t="s">
        <v>102</v>
      </c>
      <c r="C154" t="s">
        <v>102</v>
      </c>
      <c r="D154" t="s">
        <v>7</v>
      </c>
      <c r="E154" t="s">
        <v>97</v>
      </c>
      <c r="F154" t="s">
        <v>101</v>
      </c>
      <c r="G154" t="s">
        <v>97</v>
      </c>
      <c r="H154" t="s">
        <v>97</v>
      </c>
      <c r="I154" t="s">
        <v>7</v>
      </c>
      <c r="J154" t="s">
        <v>102</v>
      </c>
    </row>
    <row r="155" spans="1:10" x14ac:dyDescent="0.2">
      <c r="A155" t="s">
        <v>306</v>
      </c>
      <c r="B155" t="s">
        <v>307</v>
      </c>
      <c r="C155" t="s">
        <v>307</v>
      </c>
      <c r="D155" t="s">
        <v>219</v>
      </c>
      <c r="E155" t="s">
        <v>180</v>
      </c>
      <c r="F155" t="s">
        <v>306</v>
      </c>
      <c r="G155" t="s">
        <v>180</v>
      </c>
      <c r="H155" t="s">
        <v>180</v>
      </c>
      <c r="I155" t="s">
        <v>219</v>
      </c>
      <c r="J155" t="s">
        <v>307</v>
      </c>
    </row>
    <row r="156" spans="1:10" x14ac:dyDescent="0.2">
      <c r="A156" t="s">
        <v>390</v>
      </c>
      <c r="B156" t="s">
        <v>391</v>
      </c>
      <c r="C156" t="s">
        <v>391</v>
      </c>
      <c r="D156" t="s">
        <v>258</v>
      </c>
      <c r="E156" t="s">
        <v>281</v>
      </c>
      <c r="F156" t="s">
        <v>390</v>
      </c>
      <c r="G156" t="s">
        <v>281</v>
      </c>
      <c r="H156" t="s">
        <v>281</v>
      </c>
      <c r="I156" t="s">
        <v>258</v>
      </c>
      <c r="J156" t="s">
        <v>391</v>
      </c>
    </row>
    <row r="157" spans="1:10" x14ac:dyDescent="0.2">
      <c r="A157" t="s">
        <v>85</v>
      </c>
      <c r="B157" t="s">
        <v>87</v>
      </c>
      <c r="C157" t="s">
        <v>87</v>
      </c>
      <c r="D157" t="s">
        <v>59</v>
      </c>
      <c r="E157" t="s">
        <v>86</v>
      </c>
      <c r="F157" t="s">
        <v>85</v>
      </c>
      <c r="G157" t="s">
        <v>86</v>
      </c>
      <c r="H157" t="s">
        <v>86</v>
      </c>
      <c r="I157" t="s">
        <v>59</v>
      </c>
      <c r="J157" t="s">
        <v>87</v>
      </c>
    </row>
    <row r="158" spans="1:10" x14ac:dyDescent="0.2">
      <c r="A158" t="s">
        <v>308</v>
      </c>
      <c r="B158" t="s">
        <v>310</v>
      </c>
      <c r="C158" t="s">
        <v>310</v>
      </c>
      <c r="D158" t="s">
        <v>219</v>
      </c>
      <c r="E158" t="s">
        <v>309</v>
      </c>
      <c r="F158" t="s">
        <v>308</v>
      </c>
      <c r="G158" t="s">
        <v>309</v>
      </c>
      <c r="H158" t="s">
        <v>309</v>
      </c>
      <c r="I158" t="s">
        <v>219</v>
      </c>
      <c r="J158" t="s">
        <v>310</v>
      </c>
    </row>
    <row r="159" spans="1:10" x14ac:dyDescent="0.2">
      <c r="A159" t="s">
        <v>348</v>
      </c>
      <c r="B159" t="s">
        <v>350</v>
      </c>
      <c r="C159" t="s">
        <v>350</v>
      </c>
      <c r="D159" t="s">
        <v>349</v>
      </c>
      <c r="E159" t="s">
        <v>110</v>
      </c>
      <c r="F159" t="s">
        <v>348</v>
      </c>
      <c r="G159" t="s">
        <v>110</v>
      </c>
      <c r="H159" t="s">
        <v>110</v>
      </c>
      <c r="I159" t="s">
        <v>349</v>
      </c>
      <c r="J159" t="s">
        <v>350</v>
      </c>
    </row>
    <row r="160" spans="1:10" x14ac:dyDescent="0.2">
      <c r="A160" t="s">
        <v>5</v>
      </c>
      <c r="B160" t="s">
        <v>8</v>
      </c>
      <c r="C160" t="s">
        <v>8</v>
      </c>
      <c r="D160" t="s">
        <v>7</v>
      </c>
      <c r="E160" t="s">
        <v>6</v>
      </c>
      <c r="F160" s="1" t="s">
        <v>5</v>
      </c>
      <c r="G160" s="1" t="s">
        <v>6</v>
      </c>
      <c r="H160" s="1" t="s">
        <v>6</v>
      </c>
      <c r="I160" s="1" t="s">
        <v>7</v>
      </c>
      <c r="J160" s="1" t="s">
        <v>8</v>
      </c>
    </row>
    <row r="161" spans="1:10" x14ac:dyDescent="0.2">
      <c r="A161" t="s">
        <v>5</v>
      </c>
      <c r="B161" t="s">
        <v>57</v>
      </c>
      <c r="C161" t="s">
        <v>57</v>
      </c>
      <c r="D161" t="s">
        <v>7</v>
      </c>
      <c r="E161" t="s">
        <v>10</v>
      </c>
      <c r="F161" t="s">
        <v>5</v>
      </c>
      <c r="G161" t="s">
        <v>10</v>
      </c>
      <c r="H161" t="s">
        <v>10</v>
      </c>
      <c r="I161" t="s">
        <v>7</v>
      </c>
      <c r="J161" t="s">
        <v>57</v>
      </c>
    </row>
    <row r="162" spans="1:10" x14ac:dyDescent="0.2">
      <c r="A162" t="s">
        <v>15</v>
      </c>
      <c r="B162" t="s">
        <v>16</v>
      </c>
      <c r="C162" t="s">
        <v>16</v>
      </c>
      <c r="D162" t="s">
        <v>7</v>
      </c>
      <c r="E162" t="s">
        <v>10</v>
      </c>
      <c r="F162" t="s">
        <v>15</v>
      </c>
      <c r="G162" t="s">
        <v>10</v>
      </c>
      <c r="H162" t="s">
        <v>10</v>
      </c>
      <c r="I162" t="s">
        <v>7</v>
      </c>
      <c r="J162" t="s">
        <v>16</v>
      </c>
    </row>
    <row r="163" spans="1:10" x14ac:dyDescent="0.2">
      <c r="A163" t="s">
        <v>351</v>
      </c>
      <c r="B163" t="s">
        <v>353</v>
      </c>
      <c r="C163" t="s">
        <v>353</v>
      </c>
      <c r="D163" t="s">
        <v>349</v>
      </c>
      <c r="E163" t="s">
        <v>352</v>
      </c>
      <c r="F163" t="s">
        <v>351</v>
      </c>
      <c r="G163" t="s">
        <v>352</v>
      </c>
      <c r="H163" t="s">
        <v>352</v>
      </c>
      <c r="I163" t="s">
        <v>349</v>
      </c>
      <c r="J163" t="s">
        <v>353</v>
      </c>
    </row>
    <row r="164" spans="1:10" x14ac:dyDescent="0.2">
      <c r="A164" t="s">
        <v>112</v>
      </c>
      <c r="B164" t="s">
        <v>114</v>
      </c>
      <c r="C164" t="s">
        <v>114</v>
      </c>
      <c r="D164" t="s">
        <v>7</v>
      </c>
      <c r="E164" t="s">
        <v>113</v>
      </c>
      <c r="F164" t="s">
        <v>112</v>
      </c>
      <c r="G164" t="s">
        <v>113</v>
      </c>
      <c r="H164" t="s">
        <v>113</v>
      </c>
      <c r="I164" t="s">
        <v>7</v>
      </c>
      <c r="J164" t="s">
        <v>114</v>
      </c>
    </row>
    <row r="165" spans="1:10" x14ac:dyDescent="0.2">
      <c r="A165" t="s">
        <v>122</v>
      </c>
      <c r="B165" t="s">
        <v>124</v>
      </c>
      <c r="C165" t="s">
        <v>124</v>
      </c>
      <c r="D165" t="s">
        <v>7</v>
      </c>
      <c r="E165" t="s">
        <v>123</v>
      </c>
      <c r="F165" t="s">
        <v>122</v>
      </c>
      <c r="G165" t="s">
        <v>123</v>
      </c>
      <c r="H165" t="s">
        <v>123</v>
      </c>
      <c r="I165" t="s">
        <v>7</v>
      </c>
      <c r="J165" t="s">
        <v>124</v>
      </c>
    </row>
    <row r="166" spans="1:10" x14ac:dyDescent="0.2">
      <c r="A166" t="s">
        <v>109</v>
      </c>
      <c r="B166" t="s">
        <v>111</v>
      </c>
      <c r="C166" t="s">
        <v>111</v>
      </c>
      <c r="D166" t="s">
        <v>7</v>
      </c>
      <c r="E166" t="s">
        <v>110</v>
      </c>
      <c r="F166" t="s">
        <v>109</v>
      </c>
      <c r="G166" t="s">
        <v>110</v>
      </c>
      <c r="H166" t="s">
        <v>110</v>
      </c>
      <c r="I166" t="s">
        <v>7</v>
      </c>
      <c r="J166" t="s">
        <v>111</v>
      </c>
    </row>
    <row r="167" spans="1:10" x14ac:dyDescent="0.2">
      <c r="A167" t="s">
        <v>55</v>
      </c>
      <c r="B167" t="s">
        <v>56</v>
      </c>
      <c r="C167" t="s">
        <v>56</v>
      </c>
      <c r="D167" t="s">
        <v>7</v>
      </c>
      <c r="E167" t="s">
        <v>10</v>
      </c>
      <c r="F167" t="s">
        <v>55</v>
      </c>
      <c r="G167" t="s">
        <v>10</v>
      </c>
      <c r="H167" t="s">
        <v>10</v>
      </c>
      <c r="I167" t="s">
        <v>7</v>
      </c>
      <c r="J167" t="s">
        <v>56</v>
      </c>
    </row>
    <row r="168" spans="1:10" x14ac:dyDescent="0.2">
      <c r="A168" t="s">
        <v>311</v>
      </c>
      <c r="B168" t="s">
        <v>312</v>
      </c>
      <c r="C168" t="s">
        <v>312</v>
      </c>
      <c r="D168" t="s">
        <v>219</v>
      </c>
      <c r="E168" t="s">
        <v>113</v>
      </c>
      <c r="F168" t="s">
        <v>311</v>
      </c>
      <c r="G168" t="s">
        <v>113</v>
      </c>
      <c r="H168" t="s">
        <v>113</v>
      </c>
      <c r="I168" t="s">
        <v>219</v>
      </c>
      <c r="J168" t="s">
        <v>312</v>
      </c>
    </row>
    <row r="169" spans="1:10" x14ac:dyDescent="0.2">
      <c r="A169" t="s">
        <v>392</v>
      </c>
      <c r="B169" t="s">
        <v>393</v>
      </c>
      <c r="C169" t="s">
        <v>393</v>
      </c>
      <c r="D169" t="s">
        <v>258</v>
      </c>
      <c r="E169" t="s">
        <v>38</v>
      </c>
      <c r="F169" t="s">
        <v>392</v>
      </c>
      <c r="G169" t="s">
        <v>38</v>
      </c>
      <c r="H169" t="s">
        <v>38</v>
      </c>
      <c r="I169" t="s">
        <v>258</v>
      </c>
      <c r="J169" t="s">
        <v>393</v>
      </c>
    </row>
    <row r="170" spans="1:10" x14ac:dyDescent="0.2">
      <c r="A170" t="s">
        <v>224</v>
      </c>
      <c r="B170" t="s">
        <v>226</v>
      </c>
      <c r="C170" t="s">
        <v>226</v>
      </c>
      <c r="D170" t="s">
        <v>219</v>
      </c>
      <c r="E170" t="s">
        <v>225</v>
      </c>
      <c r="F170" t="s">
        <v>224</v>
      </c>
      <c r="G170" t="s">
        <v>225</v>
      </c>
      <c r="H170" t="s">
        <v>225</v>
      </c>
      <c r="I170" t="s">
        <v>219</v>
      </c>
      <c r="J170" t="s">
        <v>226</v>
      </c>
    </row>
    <row r="171" spans="1:10" x14ac:dyDescent="0.2">
      <c r="A171" t="s">
        <v>278</v>
      </c>
      <c r="B171" t="s">
        <v>279</v>
      </c>
      <c r="C171" t="s">
        <v>279</v>
      </c>
      <c r="D171" t="s">
        <v>219</v>
      </c>
      <c r="E171" t="s">
        <v>225</v>
      </c>
      <c r="F171" t="s">
        <v>278</v>
      </c>
      <c r="G171" t="s">
        <v>225</v>
      </c>
      <c r="H171" t="s">
        <v>225</v>
      </c>
      <c r="I171" t="s">
        <v>219</v>
      </c>
      <c r="J171" t="s">
        <v>279</v>
      </c>
    </row>
    <row r="172" spans="1:10" x14ac:dyDescent="0.2">
      <c r="A172" t="s">
        <v>90</v>
      </c>
      <c r="B172" t="s">
        <v>92</v>
      </c>
      <c r="C172" t="s">
        <v>92</v>
      </c>
      <c r="D172" t="s">
        <v>7</v>
      </c>
      <c r="E172" t="s">
        <v>91</v>
      </c>
      <c r="F172" t="s">
        <v>90</v>
      </c>
      <c r="G172" t="s">
        <v>91</v>
      </c>
      <c r="H172" t="s">
        <v>91</v>
      </c>
      <c r="I172" t="s">
        <v>7</v>
      </c>
      <c r="J172" t="s">
        <v>92</v>
      </c>
    </row>
    <row r="173" spans="1:10" x14ac:dyDescent="0.2">
      <c r="A173" t="s">
        <v>200</v>
      </c>
      <c r="B173" t="s">
        <v>201</v>
      </c>
      <c r="C173" t="s">
        <v>201</v>
      </c>
      <c r="D173" t="s">
        <v>7</v>
      </c>
      <c r="E173" t="s">
        <v>28</v>
      </c>
      <c r="F173" t="s">
        <v>200</v>
      </c>
      <c r="G173" t="s">
        <v>28</v>
      </c>
      <c r="H173" t="s">
        <v>28</v>
      </c>
      <c r="I173" t="s">
        <v>7</v>
      </c>
      <c r="J173" t="s">
        <v>201</v>
      </c>
    </row>
    <row r="174" spans="1:10" x14ac:dyDescent="0.2">
      <c r="A174" t="s">
        <v>360</v>
      </c>
      <c r="B174" t="s">
        <v>361</v>
      </c>
      <c r="C174" t="s">
        <v>361</v>
      </c>
      <c r="D174" t="s">
        <v>349</v>
      </c>
      <c r="E174" t="s">
        <v>225</v>
      </c>
      <c r="F174" t="s">
        <v>360</v>
      </c>
      <c r="G174" t="s">
        <v>225</v>
      </c>
      <c r="H174" t="s">
        <v>225</v>
      </c>
      <c r="I174" t="s">
        <v>349</v>
      </c>
      <c r="J174" t="s">
        <v>361</v>
      </c>
    </row>
    <row r="175" spans="1:10" x14ac:dyDescent="0.2">
      <c r="A175" t="s">
        <v>364</v>
      </c>
      <c r="B175" t="s">
        <v>365</v>
      </c>
      <c r="C175" t="s">
        <v>365</v>
      </c>
      <c r="D175" t="s">
        <v>349</v>
      </c>
      <c r="E175" t="s">
        <v>28</v>
      </c>
      <c r="F175" t="s">
        <v>364</v>
      </c>
      <c r="G175" t="s">
        <v>28</v>
      </c>
      <c r="H175" t="s">
        <v>28</v>
      </c>
      <c r="I175" t="s">
        <v>349</v>
      </c>
      <c r="J175" t="s">
        <v>365</v>
      </c>
    </row>
    <row r="176" spans="1:10" x14ac:dyDescent="0.2">
      <c r="A176" t="s">
        <v>202</v>
      </c>
      <c r="B176" t="s">
        <v>203</v>
      </c>
      <c r="C176" t="s">
        <v>203</v>
      </c>
      <c r="D176" t="s">
        <v>7</v>
      </c>
      <c r="E176" t="s">
        <v>28</v>
      </c>
      <c r="F176" t="s">
        <v>202</v>
      </c>
      <c r="G176" t="s">
        <v>28</v>
      </c>
      <c r="H176" t="s">
        <v>28</v>
      </c>
      <c r="I176" t="s">
        <v>7</v>
      </c>
      <c r="J176" t="s">
        <v>203</v>
      </c>
    </row>
    <row r="177" spans="1:10" x14ac:dyDescent="0.2">
      <c r="A177" t="s">
        <v>265</v>
      </c>
      <c r="B177" t="s">
        <v>266</v>
      </c>
      <c r="C177" t="s">
        <v>266</v>
      </c>
      <c r="D177" t="s">
        <v>219</v>
      </c>
      <c r="E177" t="s">
        <v>110</v>
      </c>
      <c r="F177" t="s">
        <v>265</v>
      </c>
      <c r="G177" t="s">
        <v>110</v>
      </c>
      <c r="H177" t="s">
        <v>110</v>
      </c>
      <c r="I177" t="s">
        <v>219</v>
      </c>
      <c r="J177" t="s">
        <v>266</v>
      </c>
    </row>
    <row r="178" spans="1:10" x14ac:dyDescent="0.2">
      <c r="A178" t="s">
        <v>362</v>
      </c>
      <c r="B178" t="s">
        <v>363</v>
      </c>
      <c r="C178" t="s">
        <v>363</v>
      </c>
      <c r="D178" t="s">
        <v>349</v>
      </c>
      <c r="E178" t="s">
        <v>110</v>
      </c>
      <c r="F178" t="s">
        <v>362</v>
      </c>
      <c r="G178" t="s">
        <v>110</v>
      </c>
      <c r="H178" t="s">
        <v>110</v>
      </c>
      <c r="I178" t="s">
        <v>349</v>
      </c>
      <c r="J178" t="s">
        <v>363</v>
      </c>
    </row>
    <row r="179" spans="1:10" x14ac:dyDescent="0.2">
      <c r="A179" t="s">
        <v>250</v>
      </c>
      <c r="B179" t="s">
        <v>252</v>
      </c>
      <c r="C179" t="s">
        <v>252</v>
      </c>
      <c r="D179" t="s">
        <v>219</v>
      </c>
      <c r="E179" t="s">
        <v>251</v>
      </c>
      <c r="F179" t="s">
        <v>250</v>
      </c>
      <c r="G179" t="s">
        <v>251</v>
      </c>
      <c r="H179" t="s">
        <v>251</v>
      </c>
      <c r="I179" t="s">
        <v>219</v>
      </c>
      <c r="J179" t="s">
        <v>252</v>
      </c>
    </row>
    <row r="180" spans="1:10" x14ac:dyDescent="0.2">
      <c r="A180" t="s">
        <v>65</v>
      </c>
      <c r="B180" t="s">
        <v>66</v>
      </c>
      <c r="C180" t="s">
        <v>66</v>
      </c>
      <c r="D180" t="s">
        <v>59</v>
      </c>
      <c r="E180" t="s">
        <v>53</v>
      </c>
      <c r="F180" t="s">
        <v>65</v>
      </c>
      <c r="G180" t="s">
        <v>53</v>
      </c>
      <c r="H180" t="s">
        <v>53</v>
      </c>
      <c r="I180" t="s">
        <v>59</v>
      </c>
      <c r="J180" t="s">
        <v>66</v>
      </c>
    </row>
    <row r="181" spans="1:10" x14ac:dyDescent="0.2">
      <c r="A181" t="s">
        <v>163</v>
      </c>
      <c r="B181" t="s">
        <v>164</v>
      </c>
      <c r="C181" t="s">
        <v>164</v>
      </c>
      <c r="D181" t="s">
        <v>7</v>
      </c>
      <c r="E181" t="s">
        <v>28</v>
      </c>
      <c r="F181" t="s">
        <v>163</v>
      </c>
      <c r="G181" t="s">
        <v>28</v>
      </c>
      <c r="H181" t="s">
        <v>28</v>
      </c>
      <c r="I181" t="s">
        <v>7</v>
      </c>
      <c r="J181" t="s">
        <v>164</v>
      </c>
    </row>
    <row r="182" spans="1:10" x14ac:dyDescent="0.2">
      <c r="A182" t="s">
        <v>206</v>
      </c>
      <c r="B182" t="s">
        <v>207</v>
      </c>
      <c r="C182" t="s">
        <v>207</v>
      </c>
      <c r="D182" t="s">
        <v>7</v>
      </c>
      <c r="E182" t="s">
        <v>28</v>
      </c>
      <c r="F182" t="s">
        <v>206</v>
      </c>
      <c r="G182" t="s">
        <v>28</v>
      </c>
      <c r="H182" t="s">
        <v>28</v>
      </c>
      <c r="I182" t="s">
        <v>7</v>
      </c>
      <c r="J182" t="s">
        <v>207</v>
      </c>
    </row>
    <row r="183" spans="1:10" x14ac:dyDescent="0.2">
      <c r="A183" t="s">
        <v>366</v>
      </c>
      <c r="B183" t="s">
        <v>367</v>
      </c>
      <c r="C183" t="s">
        <v>367</v>
      </c>
      <c r="D183" t="s">
        <v>349</v>
      </c>
      <c r="E183" t="s">
        <v>352</v>
      </c>
      <c r="F183" t="s">
        <v>366</v>
      </c>
      <c r="G183" t="s">
        <v>352</v>
      </c>
      <c r="H183" t="s">
        <v>352</v>
      </c>
      <c r="I183" t="s">
        <v>349</v>
      </c>
      <c r="J183" t="s">
        <v>367</v>
      </c>
    </row>
    <row r="184" spans="1:10" x14ac:dyDescent="0.2">
      <c r="A184" s="1" t="s">
        <v>411</v>
      </c>
      <c r="B184" s="1" t="s">
        <v>412</v>
      </c>
      <c r="C184" s="1" t="s">
        <v>412</v>
      </c>
      <c r="D184" s="1" t="s">
        <v>414</v>
      </c>
      <c r="E184" s="1" t="s">
        <v>413</v>
      </c>
      <c r="F184" s="1" t="s">
        <v>411</v>
      </c>
      <c r="G184" s="1" t="s">
        <v>326</v>
      </c>
      <c r="H184" s="1" t="s">
        <v>327</v>
      </c>
      <c r="I184" s="1" t="s">
        <v>414</v>
      </c>
      <c r="J184" s="1">
        <v>4336</v>
      </c>
    </row>
    <row r="185" spans="1:10" x14ac:dyDescent="0.2">
      <c r="A185" t="s">
        <v>186</v>
      </c>
      <c r="B185" t="s">
        <v>187</v>
      </c>
      <c r="C185" t="s">
        <v>187</v>
      </c>
      <c r="D185" t="s">
        <v>7</v>
      </c>
      <c r="E185" t="s">
        <v>97</v>
      </c>
      <c r="F185" t="s">
        <v>186</v>
      </c>
      <c r="G185" t="s">
        <v>97</v>
      </c>
      <c r="H185" t="s">
        <v>97</v>
      </c>
      <c r="I185" t="s">
        <v>7</v>
      </c>
      <c r="J185" t="s">
        <v>187</v>
      </c>
    </row>
    <row r="186" spans="1:10" x14ac:dyDescent="0.2">
      <c r="A186" t="s">
        <v>167</v>
      </c>
      <c r="B186" t="s">
        <v>168</v>
      </c>
      <c r="C186" t="s">
        <v>168</v>
      </c>
      <c r="D186" t="s">
        <v>7</v>
      </c>
      <c r="E186" t="s">
        <v>97</v>
      </c>
      <c r="F186" t="s">
        <v>167</v>
      </c>
      <c r="G186" t="s">
        <v>97</v>
      </c>
      <c r="H186" t="s">
        <v>97</v>
      </c>
      <c r="I186" t="s">
        <v>7</v>
      </c>
      <c r="J186" t="s">
        <v>168</v>
      </c>
    </row>
    <row r="187" spans="1:10" x14ac:dyDescent="0.2">
      <c r="A187" t="s">
        <v>73</v>
      </c>
      <c r="B187" t="s">
        <v>74</v>
      </c>
      <c r="C187" t="s">
        <v>74</v>
      </c>
      <c r="D187" t="s">
        <v>59</v>
      </c>
      <c r="E187" t="s">
        <v>10</v>
      </c>
      <c r="F187" t="s">
        <v>73</v>
      </c>
      <c r="G187" t="s">
        <v>10</v>
      </c>
      <c r="H187" t="s">
        <v>10</v>
      </c>
      <c r="I187" t="s">
        <v>59</v>
      </c>
      <c r="J187" t="s">
        <v>74</v>
      </c>
    </row>
    <row r="188" spans="1:10" x14ac:dyDescent="0.2">
      <c r="A188" t="s">
        <v>321</v>
      </c>
      <c r="B188" t="s">
        <v>322</v>
      </c>
      <c r="C188" t="s">
        <v>322</v>
      </c>
      <c r="D188" t="s">
        <v>219</v>
      </c>
      <c r="E188" t="s">
        <v>146</v>
      </c>
      <c r="F188" t="s">
        <v>321</v>
      </c>
      <c r="G188" t="s">
        <v>146</v>
      </c>
      <c r="H188" t="s">
        <v>146</v>
      </c>
      <c r="I188" t="s">
        <v>219</v>
      </c>
      <c r="J188" t="s">
        <v>322</v>
      </c>
    </row>
    <row r="189" spans="1:10" x14ac:dyDescent="0.2">
      <c r="A189" t="s">
        <v>188</v>
      </c>
      <c r="B189" t="s">
        <v>189</v>
      </c>
      <c r="C189" t="s">
        <v>189</v>
      </c>
      <c r="D189" t="s">
        <v>7</v>
      </c>
      <c r="E189" t="s">
        <v>146</v>
      </c>
      <c r="F189" t="s">
        <v>188</v>
      </c>
      <c r="G189" t="s">
        <v>146</v>
      </c>
      <c r="H189" t="s">
        <v>146</v>
      </c>
      <c r="I189" t="s">
        <v>7</v>
      </c>
      <c r="J189" t="s">
        <v>189</v>
      </c>
    </row>
    <row r="190" spans="1:10" x14ac:dyDescent="0.2">
      <c r="A190" t="s">
        <v>368</v>
      </c>
      <c r="B190" t="s">
        <v>369</v>
      </c>
      <c r="C190" t="s">
        <v>369</v>
      </c>
      <c r="D190" t="s">
        <v>258</v>
      </c>
      <c r="E190" t="s">
        <v>294</v>
      </c>
      <c r="F190" t="s">
        <v>368</v>
      </c>
      <c r="G190" t="s">
        <v>294</v>
      </c>
      <c r="H190" t="s">
        <v>294</v>
      </c>
      <c r="I190" t="s">
        <v>258</v>
      </c>
      <c r="J190" t="s">
        <v>369</v>
      </c>
    </row>
    <row r="191" spans="1:10" x14ac:dyDescent="0.2">
      <c r="A191" t="s">
        <v>235</v>
      </c>
      <c r="B191" t="s">
        <v>236</v>
      </c>
      <c r="C191" t="s">
        <v>236</v>
      </c>
      <c r="D191" t="s">
        <v>219</v>
      </c>
      <c r="E191" t="s">
        <v>218</v>
      </c>
      <c r="F191" t="s">
        <v>235</v>
      </c>
      <c r="G191" t="s">
        <v>218</v>
      </c>
      <c r="H191" t="s">
        <v>218</v>
      </c>
      <c r="I191" t="s">
        <v>219</v>
      </c>
      <c r="J191" t="s">
        <v>236</v>
      </c>
    </row>
    <row r="192" spans="1:10" x14ac:dyDescent="0.2">
      <c r="A192" t="s">
        <v>211</v>
      </c>
      <c r="B192" t="s">
        <v>212</v>
      </c>
      <c r="C192" t="s">
        <v>212</v>
      </c>
      <c r="D192" t="s">
        <v>7</v>
      </c>
      <c r="E192" t="s">
        <v>28</v>
      </c>
      <c r="F192" t="s">
        <v>211</v>
      </c>
      <c r="G192" t="s">
        <v>28</v>
      </c>
      <c r="H192" t="s">
        <v>28</v>
      </c>
      <c r="I192" t="s">
        <v>7</v>
      </c>
      <c r="J192" t="s">
        <v>212</v>
      </c>
    </row>
    <row r="193" spans="1:10" x14ac:dyDescent="0.2">
      <c r="A193" t="s">
        <v>204</v>
      </c>
      <c r="B193" t="s">
        <v>205</v>
      </c>
      <c r="C193" t="s">
        <v>205</v>
      </c>
      <c r="D193" t="s">
        <v>7</v>
      </c>
      <c r="E193" t="s">
        <v>28</v>
      </c>
      <c r="F193" t="s">
        <v>204</v>
      </c>
      <c r="G193" t="s">
        <v>28</v>
      </c>
      <c r="H193" t="s">
        <v>28</v>
      </c>
      <c r="I193" t="s">
        <v>7</v>
      </c>
      <c r="J193" t="s">
        <v>205</v>
      </c>
    </row>
    <row r="194" spans="1:10" x14ac:dyDescent="0.2">
      <c r="A194" t="s">
        <v>274</v>
      </c>
      <c r="B194" t="s">
        <v>275</v>
      </c>
      <c r="C194" t="s">
        <v>275</v>
      </c>
      <c r="D194" t="s">
        <v>219</v>
      </c>
      <c r="E194" t="s">
        <v>97</v>
      </c>
      <c r="F194" t="s">
        <v>274</v>
      </c>
      <c r="G194" t="s">
        <v>97</v>
      </c>
      <c r="H194" t="s">
        <v>97</v>
      </c>
      <c r="I194" t="s">
        <v>219</v>
      </c>
      <c r="J194" t="s">
        <v>275</v>
      </c>
    </row>
    <row r="200" spans="1:10" x14ac:dyDescent="0.2">
      <c r="C200" t="s">
        <v>2</v>
      </c>
      <c r="D200" t="s">
        <v>914</v>
      </c>
    </row>
    <row r="201" spans="1:10" x14ac:dyDescent="0.2">
      <c r="C201" s="2" t="s">
        <v>908</v>
      </c>
      <c r="D201" s="2" t="s">
        <v>909</v>
      </c>
    </row>
    <row r="202" spans="1:10" x14ac:dyDescent="0.2">
      <c r="C202" s="2" t="s">
        <v>910</v>
      </c>
      <c r="D202" s="2" t="s">
        <v>911</v>
      </c>
    </row>
    <row r="203" spans="1:10" x14ac:dyDescent="0.2">
      <c r="C203" s="2" t="s">
        <v>912</v>
      </c>
      <c r="D203" s="2" t="s">
        <v>913</v>
      </c>
    </row>
    <row r="204" spans="1:10" x14ac:dyDescent="0.2">
      <c r="C204" s="2" t="s">
        <v>906</v>
      </c>
      <c r="D204" s="2" t="s">
        <v>907</v>
      </c>
    </row>
    <row r="205" spans="1:10" x14ac:dyDescent="0.2">
      <c r="C205" s="2" t="s">
        <v>904</v>
      </c>
      <c r="D205" s="2" t="s">
        <v>905</v>
      </c>
    </row>
    <row r="206" spans="1:10" x14ac:dyDescent="0.2">
      <c r="C206" s="2" t="s">
        <v>902</v>
      </c>
      <c r="D206" s="2" t="s">
        <v>903</v>
      </c>
    </row>
    <row r="207" spans="1:10" x14ac:dyDescent="0.2">
      <c r="C207" s="2" t="s">
        <v>900</v>
      </c>
      <c r="D207" s="2" t="s">
        <v>901</v>
      </c>
    </row>
    <row r="208" spans="1:10" x14ac:dyDescent="0.2">
      <c r="C208" s="2" t="s">
        <v>898</v>
      </c>
      <c r="D208" s="2" t="s">
        <v>899</v>
      </c>
    </row>
    <row r="209" spans="3:4" x14ac:dyDescent="0.2">
      <c r="C209" s="2" t="s">
        <v>896</v>
      </c>
      <c r="D209" s="2" t="s">
        <v>897</v>
      </c>
    </row>
    <row r="211" spans="3:4" x14ac:dyDescent="0.2">
      <c r="C211" t="s">
        <v>2</v>
      </c>
      <c r="D211" t="s">
        <v>914</v>
      </c>
    </row>
    <row r="212" spans="3:4" x14ac:dyDescent="0.2">
      <c r="C212" s="2" t="s">
        <v>1225</v>
      </c>
      <c r="D212" s="2" t="s">
        <v>1226</v>
      </c>
    </row>
    <row r="213" spans="3:4" x14ac:dyDescent="0.2">
      <c r="C213" s="2" t="s">
        <v>1229</v>
      </c>
      <c r="D213" s="2" t="s">
        <v>1230</v>
      </c>
    </row>
    <row r="214" spans="3:4" x14ac:dyDescent="0.2">
      <c r="C214" s="2" t="s">
        <v>1223</v>
      </c>
      <c r="D214" s="2" t="s">
        <v>1224</v>
      </c>
    </row>
    <row r="215" spans="3:4" x14ac:dyDescent="0.2">
      <c r="C215" s="2" t="s">
        <v>1211</v>
      </c>
      <c r="D215" s="2" t="s">
        <v>1212</v>
      </c>
    </row>
    <row r="216" spans="3:4" x14ac:dyDescent="0.2">
      <c r="C216" s="2" t="s">
        <v>1227</v>
      </c>
      <c r="D216" s="2" t="s">
        <v>1228</v>
      </c>
    </row>
    <row r="217" spans="3:4" x14ac:dyDescent="0.2">
      <c r="C217" s="2" t="s">
        <v>1213</v>
      </c>
      <c r="D217" s="2" t="s">
        <v>1214</v>
      </c>
    </row>
    <row r="218" spans="3:4" x14ac:dyDescent="0.2">
      <c r="C218" s="2" t="s">
        <v>1219</v>
      </c>
      <c r="D218" s="2" t="s">
        <v>1220</v>
      </c>
    </row>
    <row r="219" spans="3:4" x14ac:dyDescent="0.2">
      <c r="C219" s="2" t="s">
        <v>1217</v>
      </c>
      <c r="D219" s="2" t="s">
        <v>1218</v>
      </c>
    </row>
    <row r="220" spans="3:4" x14ac:dyDescent="0.2">
      <c r="C220" s="2" t="s">
        <v>1215</v>
      </c>
      <c r="D220" s="2" t="s">
        <v>1216</v>
      </c>
    </row>
    <row r="221" spans="3:4" x14ac:dyDescent="0.2">
      <c r="C221" s="2" t="s">
        <v>1221</v>
      </c>
      <c r="D221" s="2" t="s">
        <v>1222</v>
      </c>
    </row>
  </sheetData>
  <autoFilter ref="C211:D221" xr:uid="{00000000-0001-0000-0100-000000000000}">
    <sortState xmlns:xlrd2="http://schemas.microsoft.com/office/spreadsheetml/2017/richdata2" ref="C212:D221">
      <sortCondition ref="C211:C22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A1:I76"/>
  <sheetViews>
    <sheetView topLeftCell="A25" workbookViewId="0">
      <selection activeCell="I42" sqref="I42"/>
    </sheetView>
  </sheetViews>
  <sheetFormatPr baseColWidth="10" defaultRowHeight="15" x14ac:dyDescent="0.2"/>
  <cols>
    <col min="2" max="2" width="16.1640625" bestFit="1" customWidth="1"/>
    <col min="3" max="3" width="25.5" customWidth="1"/>
  </cols>
  <sheetData>
    <row r="1" spans="1:3" ht="16" thickBot="1" x14ac:dyDescent="0.25"/>
    <row r="2" spans="1:3" ht="16" thickBot="1" x14ac:dyDescent="0.25">
      <c r="A2" s="10" t="s">
        <v>470</v>
      </c>
      <c r="B2" s="11" t="s">
        <v>618</v>
      </c>
      <c r="C2" s="12" t="s">
        <v>619</v>
      </c>
    </row>
    <row r="3" spans="1:3" x14ac:dyDescent="0.2">
      <c r="A3" s="13">
        <v>1</v>
      </c>
      <c r="B3" s="14" t="s">
        <v>592</v>
      </c>
      <c r="C3" s="15" t="s">
        <v>605</v>
      </c>
    </row>
    <row r="4" spans="1:3" x14ac:dyDescent="0.2">
      <c r="A4" s="16">
        <v>2</v>
      </c>
      <c r="B4" s="17" t="s">
        <v>604</v>
      </c>
      <c r="C4" s="18" t="s">
        <v>606</v>
      </c>
    </row>
    <row r="5" spans="1:3" x14ac:dyDescent="0.2">
      <c r="A5" s="16">
        <v>3</v>
      </c>
      <c r="B5" s="19" t="s">
        <v>601</v>
      </c>
      <c r="C5" s="20" t="s">
        <v>607</v>
      </c>
    </row>
    <row r="6" spans="1:3" x14ac:dyDescent="0.2">
      <c r="A6" s="16">
        <v>4</v>
      </c>
      <c r="B6" s="19" t="s">
        <v>598</v>
      </c>
      <c r="C6" s="20" t="s">
        <v>608</v>
      </c>
    </row>
    <row r="7" spans="1:3" x14ac:dyDescent="0.2">
      <c r="A7" s="16">
        <v>5</v>
      </c>
      <c r="B7" s="19" t="s">
        <v>593</v>
      </c>
      <c r="C7" s="20" t="s">
        <v>609</v>
      </c>
    </row>
    <row r="8" spans="1:3" x14ac:dyDescent="0.2">
      <c r="A8" s="16">
        <v>6</v>
      </c>
      <c r="B8" s="19" t="s">
        <v>599</v>
      </c>
      <c r="C8" s="20" t="s">
        <v>610</v>
      </c>
    </row>
    <row r="9" spans="1:3" x14ac:dyDescent="0.2">
      <c r="A9" s="16">
        <v>7</v>
      </c>
      <c r="B9" s="19" t="s">
        <v>602</v>
      </c>
      <c r="C9" s="20" t="s">
        <v>611</v>
      </c>
    </row>
    <row r="10" spans="1:3" x14ac:dyDescent="0.2">
      <c r="A10" s="16">
        <v>8</v>
      </c>
      <c r="B10" s="19" t="s">
        <v>597</v>
      </c>
      <c r="C10" s="20" t="s">
        <v>612</v>
      </c>
    </row>
    <row r="11" spans="1:3" x14ac:dyDescent="0.2">
      <c r="A11" s="16">
        <v>9</v>
      </c>
      <c r="B11" s="19" t="s">
        <v>594</v>
      </c>
      <c r="C11" s="20" t="s">
        <v>613</v>
      </c>
    </row>
    <row r="12" spans="1:3" x14ac:dyDescent="0.2">
      <c r="A12" s="16">
        <v>10</v>
      </c>
      <c r="B12" s="19" t="s">
        <v>591</v>
      </c>
      <c r="C12" s="20" t="s">
        <v>614</v>
      </c>
    </row>
    <row r="13" spans="1:3" x14ac:dyDescent="0.2">
      <c r="A13" s="16">
        <v>11</v>
      </c>
      <c r="B13" s="19" t="s">
        <v>600</v>
      </c>
      <c r="C13" s="20" t="s">
        <v>615</v>
      </c>
    </row>
    <row r="14" spans="1:3" x14ac:dyDescent="0.2">
      <c r="A14" s="16">
        <v>12</v>
      </c>
      <c r="B14" s="19" t="s">
        <v>596</v>
      </c>
      <c r="C14" s="20" t="s">
        <v>616</v>
      </c>
    </row>
    <row r="15" spans="1:3" x14ac:dyDescent="0.2">
      <c r="A15" s="16">
        <v>13</v>
      </c>
      <c r="B15" s="19" t="s">
        <v>595</v>
      </c>
      <c r="C15" s="20" t="s">
        <v>617</v>
      </c>
    </row>
    <row r="16" spans="1:3" ht="16" thickBot="1" x14ac:dyDescent="0.25">
      <c r="A16" s="21"/>
      <c r="B16" s="22"/>
      <c r="C16" s="23"/>
    </row>
    <row r="20" spans="2:4" x14ac:dyDescent="0.2">
      <c r="C20" s="2" t="s">
        <v>689</v>
      </c>
    </row>
    <row r="21" spans="2:4" x14ac:dyDescent="0.2">
      <c r="B21" s="24">
        <v>3320313792</v>
      </c>
      <c r="C21" s="2" t="s">
        <v>690</v>
      </c>
    </row>
    <row r="22" spans="2:4" x14ac:dyDescent="0.2">
      <c r="B22" s="25">
        <v>3328200966</v>
      </c>
      <c r="C22" s="2" t="s">
        <v>691</v>
      </c>
    </row>
    <row r="23" spans="2:4" x14ac:dyDescent="0.2">
      <c r="B23" s="24">
        <v>3329211707</v>
      </c>
      <c r="C23" s="2" t="s">
        <v>692</v>
      </c>
      <c r="D23" t="s">
        <v>694</v>
      </c>
    </row>
    <row r="24" spans="2:4" x14ac:dyDescent="0.2">
      <c r="B24" s="24">
        <v>3329211871</v>
      </c>
      <c r="C24" s="2" t="s">
        <v>693</v>
      </c>
      <c r="D24" t="s">
        <v>694</v>
      </c>
    </row>
    <row r="25" spans="2:4" x14ac:dyDescent="0.2">
      <c r="B25" s="24">
        <v>3329211890</v>
      </c>
      <c r="C25" s="2" t="s">
        <v>684</v>
      </c>
    </row>
    <row r="26" spans="2:4" x14ac:dyDescent="0.2">
      <c r="B26" s="24">
        <v>3329211898</v>
      </c>
      <c r="C26" s="2" t="s">
        <v>685</v>
      </c>
    </row>
    <row r="27" spans="2:4" x14ac:dyDescent="0.2">
      <c r="B27" s="24">
        <v>3329211944</v>
      </c>
      <c r="C27" s="2" t="s">
        <v>686</v>
      </c>
    </row>
    <row r="28" spans="2:4" x14ac:dyDescent="0.2">
      <c r="B28" s="24">
        <v>3329212042</v>
      </c>
      <c r="C28" s="2" t="s">
        <v>687</v>
      </c>
    </row>
    <row r="29" spans="2:4" x14ac:dyDescent="0.2">
      <c r="B29" s="24">
        <v>3329212052</v>
      </c>
      <c r="C29" s="2" t="s">
        <v>650</v>
      </c>
    </row>
    <row r="30" spans="2:4" x14ac:dyDescent="0.2">
      <c r="B30" s="24">
        <v>3329216026</v>
      </c>
      <c r="C30" s="2" t="s">
        <v>688</v>
      </c>
    </row>
    <row r="31" spans="2:4" x14ac:dyDescent="0.2">
      <c r="B31" s="8">
        <v>3315761332</v>
      </c>
    </row>
    <row r="32" spans="2:4" x14ac:dyDescent="0.2">
      <c r="B32" s="8">
        <v>3334840708</v>
      </c>
    </row>
    <row r="33" spans="2:9" x14ac:dyDescent="0.2">
      <c r="B33" s="8">
        <v>3329465176</v>
      </c>
    </row>
    <row r="34" spans="2:9" x14ac:dyDescent="0.2">
      <c r="B34" s="8">
        <v>3338225936</v>
      </c>
    </row>
    <row r="35" spans="2:9" x14ac:dyDescent="0.2">
      <c r="B35" s="8">
        <v>3313255752</v>
      </c>
    </row>
    <row r="39" spans="2:9" x14ac:dyDescent="0.2">
      <c r="D39" s="2" t="s">
        <v>956</v>
      </c>
      <c r="E39" s="2" t="s">
        <v>957</v>
      </c>
      <c r="G39">
        <v>39.75</v>
      </c>
      <c r="H39">
        <v>27.45</v>
      </c>
    </row>
    <row r="40" spans="2:9" x14ac:dyDescent="0.2">
      <c r="D40" s="2" t="s">
        <v>958</v>
      </c>
      <c r="E40" s="2" t="s">
        <v>959</v>
      </c>
      <c r="G40">
        <f>G39/53</f>
        <v>0.75</v>
      </c>
      <c r="H40">
        <f>H39/53</f>
        <v>0.51792452830188673</v>
      </c>
    </row>
    <row r="41" spans="2:9" x14ac:dyDescent="0.2">
      <c r="D41" s="2" t="s">
        <v>960</v>
      </c>
      <c r="E41" s="2" t="s">
        <v>961</v>
      </c>
      <c r="G41">
        <f>25*G40</f>
        <v>18.75</v>
      </c>
      <c r="H41">
        <f>25*H40</f>
        <v>12.948113207547168</v>
      </c>
      <c r="I41">
        <f>G41+H41</f>
        <v>31.698113207547166</v>
      </c>
    </row>
    <row r="42" spans="2:9" x14ac:dyDescent="0.2">
      <c r="D42" s="2" t="s">
        <v>962</v>
      </c>
      <c r="E42" s="2" t="s">
        <v>963</v>
      </c>
    </row>
    <row r="43" spans="2:9" x14ac:dyDescent="0.2">
      <c r="D43" s="2" t="s">
        <v>966</v>
      </c>
      <c r="E43" s="2" t="s">
        <v>967</v>
      </c>
    </row>
    <row r="44" spans="2:9" x14ac:dyDescent="0.2">
      <c r="D44" s="2" t="s">
        <v>968</v>
      </c>
      <c r="E44" s="2" t="s">
        <v>969</v>
      </c>
    </row>
    <row r="45" spans="2:9" x14ac:dyDescent="0.2">
      <c r="D45" s="2" t="s">
        <v>970</v>
      </c>
      <c r="E45" s="2" t="s">
        <v>971</v>
      </c>
    </row>
    <row r="46" spans="2:9" x14ac:dyDescent="0.2">
      <c r="D46" s="2" t="s">
        <v>972</v>
      </c>
      <c r="E46" s="2" t="s">
        <v>973</v>
      </c>
    </row>
    <row r="47" spans="2:9" x14ac:dyDescent="0.2">
      <c r="D47" s="2" t="s">
        <v>974</v>
      </c>
      <c r="E47" s="2" t="s">
        <v>975</v>
      </c>
    </row>
    <row r="48" spans="2:9" x14ac:dyDescent="0.2">
      <c r="D48" s="2" t="s">
        <v>964</v>
      </c>
      <c r="E48" s="2" t="s">
        <v>965</v>
      </c>
    </row>
    <row r="50" spans="4:5" x14ac:dyDescent="0.2">
      <c r="D50" s="2" t="s">
        <v>1002</v>
      </c>
      <c r="E50" s="2" t="s">
        <v>1003</v>
      </c>
    </row>
    <row r="51" spans="4:5" x14ac:dyDescent="0.2">
      <c r="D51" s="2" t="s">
        <v>1000</v>
      </c>
      <c r="E51" s="2" t="s">
        <v>1001</v>
      </c>
    </row>
    <row r="52" spans="4:5" x14ac:dyDescent="0.2">
      <c r="D52" s="2" t="s">
        <v>998</v>
      </c>
      <c r="E52" s="2" t="s">
        <v>999</v>
      </c>
    </row>
    <row r="53" spans="4:5" x14ac:dyDescent="0.2">
      <c r="D53" s="2" t="s">
        <v>1008</v>
      </c>
      <c r="E53" s="2" t="s">
        <v>1009</v>
      </c>
    </row>
    <row r="54" spans="4:5" x14ac:dyDescent="0.2">
      <c r="D54" s="2" t="s">
        <v>1006</v>
      </c>
      <c r="E54" s="2" t="s">
        <v>1007</v>
      </c>
    </row>
    <row r="55" spans="4:5" x14ac:dyDescent="0.2">
      <c r="D55" s="2" t="s">
        <v>994</v>
      </c>
      <c r="E55" s="2" t="s">
        <v>995</v>
      </c>
    </row>
    <row r="56" spans="4:5" x14ac:dyDescent="0.2">
      <c r="D56" s="2" t="s">
        <v>984</v>
      </c>
      <c r="E56" s="2" t="s">
        <v>985</v>
      </c>
    </row>
    <row r="57" spans="4:5" x14ac:dyDescent="0.2">
      <c r="D57" s="2" t="s">
        <v>988</v>
      </c>
      <c r="E57" s="2" t="s">
        <v>989</v>
      </c>
    </row>
    <row r="58" spans="4:5" x14ac:dyDescent="0.2">
      <c r="D58" s="2" t="s">
        <v>980</v>
      </c>
      <c r="E58" s="2" t="s">
        <v>981</v>
      </c>
    </row>
    <row r="59" spans="4:5" x14ac:dyDescent="0.2">
      <c r="D59" s="2" t="s">
        <v>992</v>
      </c>
      <c r="E59" s="2" t="s">
        <v>993</v>
      </c>
    </row>
    <row r="60" spans="4:5" x14ac:dyDescent="0.2">
      <c r="D60" s="2" t="s">
        <v>982</v>
      </c>
      <c r="E60" s="2" t="s">
        <v>983</v>
      </c>
    </row>
    <row r="61" spans="4:5" x14ac:dyDescent="0.2">
      <c r="D61" s="2" t="s">
        <v>996</v>
      </c>
      <c r="E61" s="2" t="s">
        <v>997</v>
      </c>
    </row>
    <row r="62" spans="4:5" x14ac:dyDescent="0.2">
      <c r="D62" s="2" t="s">
        <v>1004</v>
      </c>
      <c r="E62" s="2" t="s">
        <v>1005</v>
      </c>
    </row>
    <row r="63" spans="4:5" x14ac:dyDescent="0.2">
      <c r="D63" s="2" t="s">
        <v>990</v>
      </c>
      <c r="E63" s="2" t="s">
        <v>991</v>
      </c>
    </row>
    <row r="64" spans="4:5" x14ac:dyDescent="0.2">
      <c r="D64" s="2" t="s">
        <v>986</v>
      </c>
      <c r="E64" s="2" t="s">
        <v>987</v>
      </c>
    </row>
    <row r="67" spans="4:5" x14ac:dyDescent="0.2">
      <c r="D67" s="2" t="s">
        <v>1039</v>
      </c>
      <c r="E67" s="2" t="s">
        <v>1040</v>
      </c>
    </row>
    <row r="68" spans="4:5" x14ac:dyDescent="0.2">
      <c r="D68" s="2" t="s">
        <v>1045</v>
      </c>
      <c r="E68" s="2" t="s">
        <v>1046</v>
      </c>
    </row>
    <row r="69" spans="4:5" x14ac:dyDescent="0.2">
      <c r="D69" s="2" t="s">
        <v>1047</v>
      </c>
      <c r="E69" s="2" t="s">
        <v>1048</v>
      </c>
    </row>
    <row r="70" spans="4:5" x14ac:dyDescent="0.2">
      <c r="D70" s="2" t="s">
        <v>1049</v>
      </c>
      <c r="E70" s="2" t="s">
        <v>1050</v>
      </c>
    </row>
    <row r="71" spans="4:5" x14ac:dyDescent="0.2">
      <c r="D71" s="2" t="s">
        <v>1033</v>
      </c>
      <c r="E71" s="2" t="s">
        <v>1034</v>
      </c>
    </row>
    <row r="72" spans="4:5" x14ac:dyDescent="0.2">
      <c r="D72" s="2" t="s">
        <v>1037</v>
      </c>
      <c r="E72" s="2" t="s">
        <v>1038</v>
      </c>
    </row>
    <row r="73" spans="4:5" x14ac:dyDescent="0.2">
      <c r="D73" s="2" t="s">
        <v>1035</v>
      </c>
      <c r="E73" s="2" t="s">
        <v>1036</v>
      </c>
    </row>
    <row r="74" spans="4:5" x14ac:dyDescent="0.2">
      <c r="D74" s="2" t="s">
        <v>1041</v>
      </c>
      <c r="E74" s="2" t="s">
        <v>1042</v>
      </c>
    </row>
    <row r="75" spans="4:5" x14ac:dyDescent="0.2">
      <c r="D75" s="2" t="s">
        <v>1031</v>
      </c>
      <c r="E75" s="2" t="s">
        <v>1032</v>
      </c>
    </row>
    <row r="76" spans="4:5" x14ac:dyDescent="0.2">
      <c r="D76" s="2" t="s">
        <v>1043</v>
      </c>
      <c r="E76" s="2" t="s">
        <v>1044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A742-675C-420B-A18B-A1FCB157125E}">
  <dimension ref="A2:B11"/>
  <sheetViews>
    <sheetView workbookViewId="0"/>
  </sheetViews>
  <sheetFormatPr baseColWidth="10" defaultRowHeight="15" x14ac:dyDescent="0.2"/>
  <cols>
    <col min="1" max="1" width="17.5" bestFit="1" customWidth="1"/>
    <col min="2" max="2" width="17.83203125" bestFit="1" customWidth="1"/>
  </cols>
  <sheetData>
    <row r="2" spans="1:2" x14ac:dyDescent="0.2">
      <c r="A2" s="56" t="s">
        <v>2110</v>
      </c>
      <c r="B2" t="s">
        <v>2116</v>
      </c>
    </row>
    <row r="3" spans="1:2" x14ac:dyDescent="0.2">
      <c r="A3" s="57" t="s">
        <v>603</v>
      </c>
      <c r="B3">
        <v>7</v>
      </c>
    </row>
    <row r="4" spans="1:2" x14ac:dyDescent="0.2">
      <c r="A4" s="57" t="s">
        <v>574</v>
      </c>
      <c r="B4">
        <v>3</v>
      </c>
    </row>
    <row r="5" spans="1:2" x14ac:dyDescent="0.2">
      <c r="A5" s="57" t="s">
        <v>575</v>
      </c>
    </row>
    <row r="6" spans="1:2" x14ac:dyDescent="0.2">
      <c r="A6" s="57" t="s">
        <v>573</v>
      </c>
      <c r="B6">
        <v>8</v>
      </c>
    </row>
    <row r="7" spans="1:2" x14ac:dyDescent="0.2">
      <c r="A7" s="57" t="s">
        <v>1724</v>
      </c>
      <c r="B7">
        <v>25</v>
      </c>
    </row>
    <row r="8" spans="1:2" x14ac:dyDescent="0.2">
      <c r="A8" s="57" t="s">
        <v>2099</v>
      </c>
      <c r="B8">
        <v>18</v>
      </c>
    </row>
    <row r="9" spans="1:2" x14ac:dyDescent="0.2">
      <c r="A9" s="57" t="s">
        <v>469</v>
      </c>
      <c r="B9">
        <v>417</v>
      </c>
    </row>
    <row r="10" spans="1:2" x14ac:dyDescent="0.2">
      <c r="A10" s="57" t="s">
        <v>2111</v>
      </c>
      <c r="B10">
        <v>1</v>
      </c>
    </row>
    <row r="11" spans="1:2" x14ac:dyDescent="0.2">
      <c r="A11" s="57" t="s">
        <v>2112</v>
      </c>
      <c r="B11">
        <v>479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D437-2959-47C0-BAF2-A8A5482C8AB2}">
  <dimension ref="A2:B13"/>
  <sheetViews>
    <sheetView workbookViewId="0">
      <selection activeCell="H24" sqref="H24"/>
    </sheetView>
  </sheetViews>
  <sheetFormatPr baseColWidth="10" defaultRowHeight="15" x14ac:dyDescent="0.2"/>
  <cols>
    <col min="1" max="1" width="17.5" bestFit="1" customWidth="1"/>
    <col min="2" max="3" width="17.83203125" bestFit="1" customWidth="1"/>
  </cols>
  <sheetData>
    <row r="2" spans="1:2" x14ac:dyDescent="0.2">
      <c r="A2" s="56" t="s">
        <v>2110</v>
      </c>
      <c r="B2" t="s">
        <v>2116</v>
      </c>
    </row>
    <row r="3" spans="1:2" x14ac:dyDescent="0.2">
      <c r="A3" s="57" t="s">
        <v>1662</v>
      </c>
      <c r="B3">
        <v>176</v>
      </c>
    </row>
    <row r="4" spans="1:2" x14ac:dyDescent="0.2">
      <c r="A4" s="57" t="s">
        <v>1663</v>
      </c>
      <c r="B4">
        <v>188</v>
      </c>
    </row>
    <row r="5" spans="1:2" x14ac:dyDescent="0.2">
      <c r="A5" s="57" t="s">
        <v>1664</v>
      </c>
      <c r="B5">
        <v>1</v>
      </c>
    </row>
    <row r="6" spans="1:2" x14ac:dyDescent="0.2">
      <c r="A6" s="57" t="s">
        <v>1665</v>
      </c>
      <c r="B6">
        <v>35</v>
      </c>
    </row>
    <row r="7" spans="1:2" x14ac:dyDescent="0.2">
      <c r="A7" s="57" t="s">
        <v>1666</v>
      </c>
      <c r="B7">
        <v>36</v>
      </c>
    </row>
    <row r="8" spans="1:2" x14ac:dyDescent="0.2">
      <c r="A8" s="57" t="s">
        <v>1667</v>
      </c>
      <c r="B8">
        <v>1</v>
      </c>
    </row>
    <row r="9" spans="1:2" x14ac:dyDescent="0.2">
      <c r="A9" s="57" t="s">
        <v>1668</v>
      </c>
      <c r="B9">
        <v>15</v>
      </c>
    </row>
    <row r="10" spans="1:2" x14ac:dyDescent="0.2">
      <c r="A10" s="57" t="s">
        <v>2109</v>
      </c>
      <c r="B10">
        <v>7</v>
      </c>
    </row>
    <row r="11" spans="1:2" x14ac:dyDescent="0.2">
      <c r="A11" s="57" t="s">
        <v>2009</v>
      </c>
      <c r="B11">
        <v>1</v>
      </c>
    </row>
    <row r="12" spans="1:2" x14ac:dyDescent="0.2">
      <c r="A12" s="57" t="s">
        <v>2038</v>
      </c>
      <c r="B12">
        <v>19</v>
      </c>
    </row>
    <row r="13" spans="1:2" x14ac:dyDescent="0.2">
      <c r="A13" s="57" t="s">
        <v>2112</v>
      </c>
      <c r="B13">
        <v>479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F037-ACDF-4CA7-BB27-44BD8901C00A}">
  <dimension ref="A2:B46"/>
  <sheetViews>
    <sheetView workbookViewId="0">
      <selection activeCell="A2" sqref="A2"/>
    </sheetView>
  </sheetViews>
  <sheetFormatPr baseColWidth="10" defaultRowHeight="15" x14ac:dyDescent="0.2"/>
  <cols>
    <col min="1" max="1" width="27.5" bestFit="1" customWidth="1"/>
    <col min="2" max="2" width="17.83203125" bestFit="1" customWidth="1"/>
  </cols>
  <sheetData>
    <row r="2" spans="1:2" x14ac:dyDescent="0.2">
      <c r="A2" s="56" t="s">
        <v>2110</v>
      </c>
      <c r="B2" t="s">
        <v>2116</v>
      </c>
    </row>
    <row r="3" spans="1:2" x14ac:dyDescent="0.2">
      <c r="A3" s="57" t="s">
        <v>426</v>
      </c>
      <c r="B3">
        <v>1</v>
      </c>
    </row>
    <row r="4" spans="1:2" x14ac:dyDescent="0.2">
      <c r="A4" s="57" t="s">
        <v>807</v>
      </c>
      <c r="B4">
        <v>2</v>
      </c>
    </row>
    <row r="5" spans="1:2" x14ac:dyDescent="0.2">
      <c r="A5" s="57" t="s">
        <v>543</v>
      </c>
      <c r="B5">
        <v>3</v>
      </c>
    </row>
    <row r="6" spans="1:2" x14ac:dyDescent="0.2">
      <c r="A6" s="57" t="s">
        <v>1941</v>
      </c>
      <c r="B6">
        <v>13</v>
      </c>
    </row>
    <row r="7" spans="1:2" x14ac:dyDescent="0.2">
      <c r="A7" s="57" t="s">
        <v>1700</v>
      </c>
      <c r="B7">
        <v>4</v>
      </c>
    </row>
    <row r="8" spans="1:2" x14ac:dyDescent="0.2">
      <c r="A8" s="57" t="s">
        <v>826</v>
      </c>
      <c r="B8">
        <v>11</v>
      </c>
    </row>
    <row r="9" spans="1:2" x14ac:dyDescent="0.2">
      <c r="A9" s="57" t="s">
        <v>2098</v>
      </c>
      <c r="B9">
        <v>1</v>
      </c>
    </row>
    <row r="10" spans="1:2" x14ac:dyDescent="0.2">
      <c r="A10" s="57" t="s">
        <v>2058</v>
      </c>
      <c r="B10">
        <v>4</v>
      </c>
    </row>
    <row r="11" spans="1:2" x14ac:dyDescent="0.2">
      <c r="A11" s="57" t="s">
        <v>854</v>
      </c>
      <c r="B11">
        <v>1</v>
      </c>
    </row>
    <row r="12" spans="1:2" x14ac:dyDescent="0.2">
      <c r="A12" s="57" t="s">
        <v>2066</v>
      </c>
      <c r="B12">
        <v>1</v>
      </c>
    </row>
    <row r="13" spans="1:2" x14ac:dyDescent="0.2">
      <c r="A13" s="57" t="s">
        <v>834</v>
      </c>
      <c r="B13">
        <v>6</v>
      </c>
    </row>
    <row r="14" spans="1:2" x14ac:dyDescent="0.2">
      <c r="A14" s="57" t="s">
        <v>1206</v>
      </c>
      <c r="B14">
        <v>1</v>
      </c>
    </row>
    <row r="15" spans="1:2" x14ac:dyDescent="0.2">
      <c r="A15" s="57" t="s">
        <v>2013</v>
      </c>
      <c r="B15">
        <v>2</v>
      </c>
    </row>
    <row r="16" spans="1:2" x14ac:dyDescent="0.2">
      <c r="A16" s="57" t="s">
        <v>820</v>
      </c>
      <c r="B16">
        <v>1</v>
      </c>
    </row>
    <row r="17" spans="1:2" x14ac:dyDescent="0.2">
      <c r="A17" s="57" t="s">
        <v>1164</v>
      </c>
      <c r="B17">
        <v>1</v>
      </c>
    </row>
    <row r="18" spans="1:2" x14ac:dyDescent="0.2">
      <c r="A18" s="57" t="s">
        <v>441</v>
      </c>
      <c r="B18">
        <v>10</v>
      </c>
    </row>
    <row r="19" spans="1:2" x14ac:dyDescent="0.2">
      <c r="A19" s="57" t="s">
        <v>678</v>
      </c>
      <c r="B19">
        <v>1</v>
      </c>
    </row>
    <row r="20" spans="1:2" x14ac:dyDescent="0.2">
      <c r="A20" s="57" t="s">
        <v>258</v>
      </c>
      <c r="B20">
        <v>12</v>
      </c>
    </row>
    <row r="21" spans="1:2" x14ac:dyDescent="0.2">
      <c r="A21" s="57" t="s">
        <v>328</v>
      </c>
      <c r="B21">
        <v>1</v>
      </c>
    </row>
    <row r="22" spans="1:2" x14ac:dyDescent="0.2">
      <c r="A22" s="57" t="s">
        <v>219</v>
      </c>
      <c r="B22">
        <v>40</v>
      </c>
    </row>
    <row r="23" spans="1:2" x14ac:dyDescent="0.2">
      <c r="A23" s="57" t="s">
        <v>331</v>
      </c>
      <c r="B23">
        <v>5</v>
      </c>
    </row>
    <row r="24" spans="1:2" x14ac:dyDescent="0.2">
      <c r="A24" s="57" t="s">
        <v>1980</v>
      </c>
      <c r="B24">
        <v>1</v>
      </c>
    </row>
    <row r="25" spans="1:2" x14ac:dyDescent="0.2">
      <c r="A25" s="57" t="s">
        <v>349</v>
      </c>
      <c r="B25">
        <v>22</v>
      </c>
    </row>
    <row r="26" spans="1:2" x14ac:dyDescent="0.2">
      <c r="A26" s="57" t="s">
        <v>857</v>
      </c>
      <c r="B26">
        <v>42</v>
      </c>
    </row>
    <row r="27" spans="1:2" x14ac:dyDescent="0.2">
      <c r="A27" s="57" t="s">
        <v>1829</v>
      </c>
      <c r="B27">
        <v>1</v>
      </c>
    </row>
    <row r="28" spans="1:2" x14ac:dyDescent="0.2">
      <c r="A28" s="57" t="s">
        <v>1653</v>
      </c>
      <c r="B28">
        <v>1</v>
      </c>
    </row>
    <row r="29" spans="1:2" x14ac:dyDescent="0.2">
      <c r="A29" s="57" t="s">
        <v>1996</v>
      </c>
      <c r="B29">
        <v>2</v>
      </c>
    </row>
    <row r="30" spans="1:2" x14ac:dyDescent="0.2">
      <c r="A30" s="57" t="s">
        <v>2102</v>
      </c>
      <c r="B30">
        <v>18</v>
      </c>
    </row>
    <row r="31" spans="1:2" x14ac:dyDescent="0.2">
      <c r="A31" s="57" t="s">
        <v>1328</v>
      </c>
      <c r="B31">
        <v>3</v>
      </c>
    </row>
    <row r="32" spans="1:2" x14ac:dyDescent="0.2">
      <c r="A32" s="57" t="s">
        <v>572</v>
      </c>
      <c r="B32">
        <v>3</v>
      </c>
    </row>
    <row r="33" spans="1:2" x14ac:dyDescent="0.2">
      <c r="A33" s="57" t="s">
        <v>7</v>
      </c>
      <c r="B33">
        <v>52</v>
      </c>
    </row>
    <row r="34" spans="1:2" x14ac:dyDescent="0.2">
      <c r="A34" s="57" t="s">
        <v>2016</v>
      </c>
      <c r="B34">
        <v>1</v>
      </c>
    </row>
    <row r="35" spans="1:2" x14ac:dyDescent="0.2">
      <c r="A35" s="57" t="s">
        <v>1088</v>
      </c>
      <c r="B35">
        <v>1</v>
      </c>
    </row>
    <row r="36" spans="1:2" x14ac:dyDescent="0.2">
      <c r="A36" s="57" t="s">
        <v>434</v>
      </c>
      <c r="B36">
        <v>32</v>
      </c>
    </row>
    <row r="37" spans="1:2" x14ac:dyDescent="0.2">
      <c r="A37" s="57" t="s">
        <v>1138</v>
      </c>
      <c r="B37">
        <v>139</v>
      </c>
    </row>
    <row r="38" spans="1:2" x14ac:dyDescent="0.2">
      <c r="A38" s="57" t="s">
        <v>2022</v>
      </c>
      <c r="B38">
        <v>3</v>
      </c>
    </row>
    <row r="39" spans="1:2" x14ac:dyDescent="0.2">
      <c r="A39" s="57" t="s">
        <v>1878</v>
      </c>
      <c r="B39">
        <v>2</v>
      </c>
    </row>
    <row r="40" spans="1:2" x14ac:dyDescent="0.2">
      <c r="A40" s="57" t="s">
        <v>1275</v>
      </c>
      <c r="B40">
        <v>14</v>
      </c>
    </row>
    <row r="41" spans="1:2" x14ac:dyDescent="0.2">
      <c r="A41" s="57" t="s">
        <v>59</v>
      </c>
      <c r="B41">
        <v>14</v>
      </c>
    </row>
    <row r="42" spans="1:2" x14ac:dyDescent="0.2">
      <c r="A42" s="57" t="s">
        <v>547</v>
      </c>
      <c r="B42">
        <v>4</v>
      </c>
    </row>
    <row r="43" spans="1:2" x14ac:dyDescent="0.2">
      <c r="A43" s="57" t="s">
        <v>1656</v>
      </c>
      <c r="B43">
        <v>1</v>
      </c>
    </row>
    <row r="44" spans="1:2" x14ac:dyDescent="0.2">
      <c r="A44" s="57" t="s">
        <v>566</v>
      </c>
      <c r="B44">
        <v>1</v>
      </c>
    </row>
    <row r="45" spans="1:2" x14ac:dyDescent="0.2">
      <c r="A45" s="57" t="s">
        <v>2111</v>
      </c>
      <c r="B45">
        <v>1</v>
      </c>
    </row>
    <row r="46" spans="1:2" x14ac:dyDescent="0.2">
      <c r="A46" s="57" t="s">
        <v>2112</v>
      </c>
      <c r="B46">
        <v>479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6373-5720-4995-8CFC-C3B331E8671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7317-09EF-4A8A-92E3-0EC7AC6F659E}">
  <dimension ref="A2:B86"/>
  <sheetViews>
    <sheetView topLeftCell="A52" workbookViewId="0">
      <selection activeCell="A2" sqref="A2"/>
    </sheetView>
  </sheetViews>
  <sheetFormatPr baseColWidth="10" defaultRowHeight="15" x14ac:dyDescent="0.2"/>
  <cols>
    <col min="1" max="1" width="49.33203125" bestFit="1" customWidth="1"/>
    <col min="2" max="2" width="17.83203125" bestFit="1" customWidth="1"/>
  </cols>
  <sheetData>
    <row r="2" spans="1:2" x14ac:dyDescent="0.2">
      <c r="A2" s="56" t="s">
        <v>2110</v>
      </c>
      <c r="B2" t="s">
        <v>2116</v>
      </c>
    </row>
    <row r="3" spans="1:2" x14ac:dyDescent="0.2">
      <c r="A3" s="57" t="s">
        <v>417</v>
      </c>
      <c r="B3">
        <v>2</v>
      </c>
    </row>
    <row r="4" spans="1:2" x14ac:dyDescent="0.2">
      <c r="A4" s="57" t="s">
        <v>1121</v>
      </c>
      <c r="B4">
        <v>1</v>
      </c>
    </row>
    <row r="5" spans="1:2" x14ac:dyDescent="0.2">
      <c r="A5" s="57" t="s">
        <v>1781</v>
      </c>
      <c r="B5">
        <v>18</v>
      </c>
    </row>
    <row r="6" spans="1:2" x14ac:dyDescent="0.2">
      <c r="A6" s="57" t="s">
        <v>1108</v>
      </c>
      <c r="B6">
        <v>6</v>
      </c>
    </row>
    <row r="7" spans="1:2" x14ac:dyDescent="0.2">
      <c r="A7" s="57" t="s">
        <v>48</v>
      </c>
      <c r="B7">
        <v>7</v>
      </c>
    </row>
    <row r="8" spans="1:2" x14ac:dyDescent="0.2">
      <c r="A8" s="57" t="s">
        <v>135</v>
      </c>
      <c r="B8">
        <v>6</v>
      </c>
    </row>
    <row r="9" spans="1:2" x14ac:dyDescent="0.2">
      <c r="A9" s="57" t="s">
        <v>309</v>
      </c>
      <c r="B9">
        <v>31</v>
      </c>
    </row>
    <row r="10" spans="1:2" x14ac:dyDescent="0.2">
      <c r="A10" s="57" t="s">
        <v>1726</v>
      </c>
      <c r="B10">
        <v>1</v>
      </c>
    </row>
    <row r="11" spans="1:2" x14ac:dyDescent="0.2">
      <c r="A11" s="57" t="s">
        <v>888</v>
      </c>
      <c r="B11">
        <v>8</v>
      </c>
    </row>
    <row r="12" spans="1:2" x14ac:dyDescent="0.2">
      <c r="A12" s="57" t="s">
        <v>1087</v>
      </c>
      <c r="B12">
        <v>18</v>
      </c>
    </row>
    <row r="13" spans="1:2" x14ac:dyDescent="0.2">
      <c r="A13" s="57" t="s">
        <v>356</v>
      </c>
      <c r="B13">
        <v>1</v>
      </c>
    </row>
    <row r="14" spans="1:2" x14ac:dyDescent="0.2">
      <c r="A14" s="57" t="s">
        <v>646</v>
      </c>
      <c r="B14">
        <v>3</v>
      </c>
    </row>
    <row r="15" spans="1:2" x14ac:dyDescent="0.2">
      <c r="A15" s="57" t="s">
        <v>1713</v>
      </c>
      <c r="B15">
        <v>1</v>
      </c>
    </row>
    <row r="16" spans="1:2" x14ac:dyDescent="0.2">
      <c r="A16" s="57" t="s">
        <v>673</v>
      </c>
      <c r="B16">
        <v>5</v>
      </c>
    </row>
    <row r="17" spans="1:2" x14ac:dyDescent="0.2">
      <c r="A17" s="57" t="s">
        <v>1196</v>
      </c>
      <c r="B17">
        <v>1</v>
      </c>
    </row>
    <row r="18" spans="1:2" x14ac:dyDescent="0.2">
      <c r="A18" s="57" t="s">
        <v>2039</v>
      </c>
      <c r="B18">
        <v>2</v>
      </c>
    </row>
    <row r="19" spans="1:2" x14ac:dyDescent="0.2">
      <c r="A19" s="57" t="s">
        <v>230</v>
      </c>
      <c r="B19">
        <v>6</v>
      </c>
    </row>
    <row r="20" spans="1:2" x14ac:dyDescent="0.2">
      <c r="A20" s="57" t="s">
        <v>1981</v>
      </c>
      <c r="B20">
        <v>1</v>
      </c>
    </row>
    <row r="21" spans="1:2" x14ac:dyDescent="0.2">
      <c r="A21" s="57" t="s">
        <v>373</v>
      </c>
      <c r="B21">
        <v>7</v>
      </c>
    </row>
    <row r="22" spans="1:2" x14ac:dyDescent="0.2">
      <c r="A22" s="57" t="s">
        <v>1095</v>
      </c>
      <c r="B22">
        <v>4</v>
      </c>
    </row>
    <row r="23" spans="1:2" x14ac:dyDescent="0.2">
      <c r="A23" s="57" t="s">
        <v>31</v>
      </c>
      <c r="B23">
        <v>2</v>
      </c>
    </row>
    <row r="24" spans="1:2" x14ac:dyDescent="0.2">
      <c r="A24" s="57" t="s">
        <v>2057</v>
      </c>
      <c r="B24">
        <v>8</v>
      </c>
    </row>
    <row r="25" spans="1:2" x14ac:dyDescent="0.2">
      <c r="A25" s="57" t="s">
        <v>270</v>
      </c>
      <c r="B25">
        <v>1</v>
      </c>
    </row>
    <row r="26" spans="1:2" x14ac:dyDescent="0.2">
      <c r="A26" s="57" t="s">
        <v>1805</v>
      </c>
      <c r="B26">
        <v>1</v>
      </c>
    </row>
    <row r="27" spans="1:2" x14ac:dyDescent="0.2">
      <c r="A27" s="57" t="s">
        <v>2062</v>
      </c>
      <c r="B27">
        <v>1</v>
      </c>
    </row>
    <row r="28" spans="1:2" x14ac:dyDescent="0.2">
      <c r="A28" s="57" t="s">
        <v>1688</v>
      </c>
      <c r="B28">
        <v>4</v>
      </c>
    </row>
    <row r="29" spans="1:2" x14ac:dyDescent="0.2">
      <c r="A29" s="57" t="s">
        <v>1975</v>
      </c>
      <c r="B29">
        <v>5</v>
      </c>
    </row>
    <row r="30" spans="1:2" x14ac:dyDescent="0.2">
      <c r="A30" s="57" t="s">
        <v>127</v>
      </c>
      <c r="B30">
        <v>2</v>
      </c>
    </row>
    <row r="31" spans="1:2" x14ac:dyDescent="0.2">
      <c r="A31" s="57" t="s">
        <v>44</v>
      </c>
      <c r="B31">
        <v>17</v>
      </c>
    </row>
    <row r="32" spans="1:2" x14ac:dyDescent="0.2">
      <c r="A32" s="57" t="s">
        <v>132</v>
      </c>
      <c r="B32">
        <v>6</v>
      </c>
    </row>
    <row r="33" spans="1:2" x14ac:dyDescent="0.2">
      <c r="A33" s="57" t="s">
        <v>6</v>
      </c>
      <c r="B33">
        <v>1</v>
      </c>
    </row>
    <row r="34" spans="1:2" x14ac:dyDescent="0.2">
      <c r="A34" s="57" t="s">
        <v>225</v>
      </c>
      <c r="B34">
        <v>12</v>
      </c>
    </row>
    <row r="35" spans="1:2" x14ac:dyDescent="0.2">
      <c r="A35" s="57" t="s">
        <v>1837</v>
      </c>
      <c r="B35">
        <v>3</v>
      </c>
    </row>
    <row r="36" spans="1:2" x14ac:dyDescent="0.2">
      <c r="A36" s="57" t="s">
        <v>886</v>
      </c>
      <c r="B36">
        <v>49</v>
      </c>
    </row>
    <row r="37" spans="1:2" x14ac:dyDescent="0.2">
      <c r="A37" s="57" t="s">
        <v>327</v>
      </c>
      <c r="B37">
        <v>6</v>
      </c>
    </row>
    <row r="38" spans="1:2" x14ac:dyDescent="0.2">
      <c r="A38" s="57" t="s">
        <v>1089</v>
      </c>
      <c r="B38">
        <v>1</v>
      </c>
    </row>
    <row r="39" spans="1:2" x14ac:dyDescent="0.2">
      <c r="A39" s="57" t="s">
        <v>2107</v>
      </c>
      <c r="B39">
        <v>5</v>
      </c>
    </row>
    <row r="40" spans="1:2" x14ac:dyDescent="0.2">
      <c r="A40" s="57" t="s">
        <v>1685</v>
      </c>
      <c r="B40">
        <v>2</v>
      </c>
    </row>
    <row r="41" spans="1:2" x14ac:dyDescent="0.2">
      <c r="A41" s="57" t="s">
        <v>1946</v>
      </c>
      <c r="B41">
        <v>1</v>
      </c>
    </row>
    <row r="42" spans="1:2" x14ac:dyDescent="0.2">
      <c r="A42" s="57" t="s">
        <v>2067</v>
      </c>
      <c r="B42">
        <v>1</v>
      </c>
    </row>
    <row r="43" spans="1:2" x14ac:dyDescent="0.2">
      <c r="A43" s="57" t="s">
        <v>421</v>
      </c>
      <c r="B43">
        <v>3</v>
      </c>
    </row>
    <row r="44" spans="1:2" x14ac:dyDescent="0.2">
      <c r="A44" s="57" t="s">
        <v>448</v>
      </c>
      <c r="B44">
        <v>6</v>
      </c>
    </row>
    <row r="45" spans="1:2" x14ac:dyDescent="0.2">
      <c r="A45" s="57" t="s">
        <v>1318</v>
      </c>
      <c r="B45">
        <v>11</v>
      </c>
    </row>
    <row r="46" spans="1:2" x14ac:dyDescent="0.2">
      <c r="A46" s="57" t="s">
        <v>1094</v>
      </c>
      <c r="B46">
        <v>3</v>
      </c>
    </row>
    <row r="47" spans="1:2" x14ac:dyDescent="0.2">
      <c r="A47" s="57" t="s">
        <v>658</v>
      </c>
      <c r="B47">
        <v>1</v>
      </c>
    </row>
    <row r="48" spans="1:2" x14ac:dyDescent="0.2">
      <c r="A48" s="57" t="s">
        <v>53</v>
      </c>
      <c r="B48">
        <v>7</v>
      </c>
    </row>
    <row r="49" spans="1:2" x14ac:dyDescent="0.2">
      <c r="A49" s="57" t="s">
        <v>2073</v>
      </c>
      <c r="B49">
        <v>2</v>
      </c>
    </row>
    <row r="50" spans="1:2" x14ac:dyDescent="0.2">
      <c r="A50" s="57" t="s">
        <v>1745</v>
      </c>
      <c r="B50">
        <v>2</v>
      </c>
    </row>
    <row r="51" spans="1:2" x14ac:dyDescent="0.2">
      <c r="A51" s="57" t="s">
        <v>1093</v>
      </c>
      <c r="B51">
        <v>1</v>
      </c>
    </row>
    <row r="52" spans="1:2" x14ac:dyDescent="0.2">
      <c r="A52" s="57" t="s">
        <v>218</v>
      </c>
      <c r="B52">
        <v>4</v>
      </c>
    </row>
    <row r="53" spans="1:2" x14ac:dyDescent="0.2">
      <c r="A53" s="57" t="s">
        <v>159</v>
      </c>
      <c r="B53">
        <v>3</v>
      </c>
    </row>
    <row r="54" spans="1:2" x14ac:dyDescent="0.2">
      <c r="A54" s="57" t="s">
        <v>94</v>
      </c>
      <c r="B54">
        <v>14</v>
      </c>
    </row>
    <row r="55" spans="1:2" x14ac:dyDescent="0.2">
      <c r="A55" s="57" t="s">
        <v>2083</v>
      </c>
      <c r="B55">
        <v>4</v>
      </c>
    </row>
    <row r="56" spans="1:2" x14ac:dyDescent="0.2">
      <c r="A56" s="57" t="s">
        <v>822</v>
      </c>
      <c r="B56">
        <v>26</v>
      </c>
    </row>
    <row r="57" spans="1:2" x14ac:dyDescent="0.2">
      <c r="A57" s="57" t="s">
        <v>38</v>
      </c>
      <c r="B57">
        <v>4</v>
      </c>
    </row>
    <row r="58" spans="1:2" x14ac:dyDescent="0.2">
      <c r="A58" s="57" t="s">
        <v>1989</v>
      </c>
      <c r="B58">
        <v>4</v>
      </c>
    </row>
    <row r="59" spans="1:2" x14ac:dyDescent="0.2">
      <c r="A59" s="57" t="s">
        <v>1950</v>
      </c>
      <c r="B59">
        <v>1</v>
      </c>
    </row>
    <row r="60" spans="1:2" x14ac:dyDescent="0.2">
      <c r="A60" s="57" t="s">
        <v>1953</v>
      </c>
      <c r="B60">
        <v>2</v>
      </c>
    </row>
    <row r="61" spans="1:2" x14ac:dyDescent="0.2">
      <c r="A61" s="57" t="s">
        <v>222</v>
      </c>
      <c r="B61">
        <v>1</v>
      </c>
    </row>
    <row r="62" spans="1:2" x14ac:dyDescent="0.2">
      <c r="A62" s="57" t="s">
        <v>2085</v>
      </c>
      <c r="B62">
        <v>7</v>
      </c>
    </row>
    <row r="63" spans="1:2" x14ac:dyDescent="0.2">
      <c r="A63" s="57" t="s">
        <v>76</v>
      </c>
      <c r="B63">
        <v>2</v>
      </c>
    </row>
    <row r="64" spans="1:2" x14ac:dyDescent="0.2">
      <c r="A64" s="57" t="s">
        <v>1314</v>
      </c>
      <c r="B64">
        <v>1</v>
      </c>
    </row>
    <row r="65" spans="1:2" x14ac:dyDescent="0.2">
      <c r="A65" s="57" t="s">
        <v>1315</v>
      </c>
      <c r="B65">
        <v>1</v>
      </c>
    </row>
    <row r="66" spans="1:2" x14ac:dyDescent="0.2">
      <c r="A66" s="57" t="s">
        <v>41</v>
      </c>
      <c r="B66">
        <v>8</v>
      </c>
    </row>
    <row r="67" spans="1:2" x14ac:dyDescent="0.2">
      <c r="A67" s="57" t="s">
        <v>123</v>
      </c>
      <c r="B67">
        <v>22</v>
      </c>
    </row>
    <row r="68" spans="1:2" x14ac:dyDescent="0.2">
      <c r="A68" s="57" t="s">
        <v>28</v>
      </c>
      <c r="B68">
        <v>21</v>
      </c>
    </row>
    <row r="69" spans="1:2" x14ac:dyDescent="0.2">
      <c r="A69" s="57" t="s">
        <v>415</v>
      </c>
      <c r="B69">
        <v>1</v>
      </c>
    </row>
    <row r="70" spans="1:2" x14ac:dyDescent="0.2">
      <c r="A70" s="57" t="s">
        <v>180</v>
      </c>
      <c r="B70">
        <v>18</v>
      </c>
    </row>
    <row r="71" spans="1:2" x14ac:dyDescent="0.2">
      <c r="A71" s="57" t="s">
        <v>184</v>
      </c>
      <c r="B71">
        <v>9</v>
      </c>
    </row>
    <row r="72" spans="1:2" x14ac:dyDescent="0.2">
      <c r="A72" s="57" t="s">
        <v>976</v>
      </c>
      <c r="B72">
        <v>1</v>
      </c>
    </row>
    <row r="73" spans="1:2" x14ac:dyDescent="0.2">
      <c r="A73" s="57" t="s">
        <v>13</v>
      </c>
      <c r="B73">
        <v>3</v>
      </c>
    </row>
    <row r="74" spans="1:2" x14ac:dyDescent="0.2">
      <c r="A74" s="57" t="s">
        <v>244</v>
      </c>
      <c r="B74">
        <v>1</v>
      </c>
    </row>
    <row r="75" spans="1:2" x14ac:dyDescent="0.2">
      <c r="A75" s="57" t="s">
        <v>1716</v>
      </c>
      <c r="B75">
        <v>2</v>
      </c>
    </row>
    <row r="76" spans="1:2" x14ac:dyDescent="0.2">
      <c r="A76" s="57" t="s">
        <v>513</v>
      </c>
      <c r="B76">
        <v>2</v>
      </c>
    </row>
    <row r="77" spans="1:2" x14ac:dyDescent="0.2">
      <c r="A77" s="57" t="s">
        <v>91</v>
      </c>
      <c r="B77">
        <v>2</v>
      </c>
    </row>
    <row r="78" spans="1:2" x14ac:dyDescent="0.2">
      <c r="A78" s="57" t="s">
        <v>1942</v>
      </c>
      <c r="B78">
        <v>4</v>
      </c>
    </row>
    <row r="79" spans="1:2" x14ac:dyDescent="0.2">
      <c r="A79" s="57" t="s">
        <v>1786</v>
      </c>
      <c r="B79">
        <v>1</v>
      </c>
    </row>
    <row r="80" spans="1:2" x14ac:dyDescent="0.2">
      <c r="A80" s="57" t="s">
        <v>917</v>
      </c>
      <c r="B80">
        <v>7</v>
      </c>
    </row>
    <row r="81" spans="1:2" x14ac:dyDescent="0.2">
      <c r="A81" s="57" t="s">
        <v>86</v>
      </c>
      <c r="B81">
        <v>1</v>
      </c>
    </row>
    <row r="82" spans="1:2" x14ac:dyDescent="0.2">
      <c r="A82" s="57" t="s">
        <v>113</v>
      </c>
      <c r="B82">
        <v>5</v>
      </c>
    </row>
    <row r="83" spans="1:2" x14ac:dyDescent="0.2">
      <c r="A83" s="57" t="s">
        <v>341</v>
      </c>
      <c r="B83">
        <v>3</v>
      </c>
    </row>
    <row r="84" spans="1:2" x14ac:dyDescent="0.2">
      <c r="A84" s="57" t="s">
        <v>25</v>
      </c>
      <c r="B84">
        <v>1</v>
      </c>
    </row>
    <row r="85" spans="1:2" x14ac:dyDescent="0.2">
      <c r="A85" s="57" t="s">
        <v>2111</v>
      </c>
    </row>
    <row r="86" spans="1:2" x14ac:dyDescent="0.2">
      <c r="A86" s="57" t="s">
        <v>2112</v>
      </c>
      <c r="B86">
        <v>479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Principal</vt:lpstr>
      <vt:lpstr>StockEmprenet</vt:lpstr>
      <vt:lpstr>Costos</vt:lpstr>
      <vt:lpstr>Reporte</vt:lpstr>
      <vt:lpstr>Hoja5</vt:lpstr>
      <vt:lpstr>Baja28042021</vt:lpstr>
      <vt:lpstr>Hoja2</vt:lpstr>
      <vt:lpstr>Hoja3</vt:lpstr>
      <vt:lpstr>Sugerencia1</vt:lpstr>
      <vt:lpstr>Sugerencia2</vt:lpstr>
      <vt:lpstr>Sugerencia3</vt:lpstr>
      <vt:lpstr>Hoja1</vt:lpstr>
      <vt:lpstr>Sugerencia4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Caro1</dc:creator>
  <cp:lastModifiedBy>FELIPE DE JESUS GOMEZ TIRADO</cp:lastModifiedBy>
  <dcterms:created xsi:type="dcterms:W3CDTF">2019-09-18T18:05:56Z</dcterms:created>
  <dcterms:modified xsi:type="dcterms:W3CDTF">2025-12-30T00:19:49Z</dcterms:modified>
</cp:coreProperties>
</file>