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4"/>
  <workbookPr/>
  <mc:AlternateContent xmlns:mc="http://schemas.openxmlformats.org/markup-compatibility/2006">
    <mc:Choice Requires="x15">
      <x15ac:absPath xmlns:x15ac="http://schemas.microsoft.com/office/spreadsheetml/2010/11/ac" url="/Users/felipedejesusgomeztirado/Documents/Documentos - Mac mini de FELIPE/"/>
    </mc:Choice>
  </mc:AlternateContent>
  <xr:revisionPtr revIDLastSave="0" documentId="8_{7BE906DF-2021-9244-98E6-397E8F8C9E66}" xr6:coauthVersionLast="47" xr6:coauthVersionMax="47" xr10:uidLastSave="{00000000-0000-0000-0000-000000000000}"/>
  <bookViews>
    <workbookView xWindow="1540" yWindow="600" windowWidth="38400" windowHeight="1930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3" i="1" l="1"/>
  <c r="J21" i="1"/>
  <c r="J14" i="1"/>
  <c r="I12" i="1"/>
  <c r="H4" i="1" l="1"/>
  <c r="I24" i="1" l="1"/>
  <c r="J12" i="1"/>
  <c r="I18" i="1" l="1"/>
  <c r="I27" i="1"/>
  <c r="I19" i="1" l="1"/>
  <c r="I26" i="1"/>
  <c r="I28" i="1" s="1"/>
  <c r="I29" i="1" l="1"/>
  <c r="I30" i="1" s="1"/>
  <c r="I32" i="1" s="1"/>
</calcChain>
</file>

<file path=xl/sharedStrings.xml><?xml version="1.0" encoding="utf-8"?>
<sst xmlns="http://schemas.openxmlformats.org/spreadsheetml/2006/main" count="47" uniqueCount="45">
  <si>
    <t>CARGOS RECURRENTES</t>
  </si>
  <si>
    <t>Producto</t>
  </si>
  <si>
    <t>Cantidad</t>
  </si>
  <si>
    <t>Descripcion</t>
  </si>
  <si>
    <t>Precio de lista</t>
  </si>
  <si>
    <t>Desc.</t>
  </si>
  <si>
    <t>Precio Unitario</t>
  </si>
  <si>
    <t>Importe</t>
  </si>
  <si>
    <t>SUBTOTAL EQUIPO</t>
  </si>
  <si>
    <t>TOTAL EQUIPO INSTALADO</t>
  </si>
  <si>
    <t>SUBTOTAL  CARGOS RECURRENTES</t>
  </si>
  <si>
    <t>RESUMEN DE PAGO DE CONTADO</t>
  </si>
  <si>
    <t>SUBTOTAL CARGOS RECURRENTES</t>
  </si>
  <si>
    <t>SUBTOTAL</t>
  </si>
  <si>
    <t>I.V.A.</t>
  </si>
  <si>
    <t>TIPO DE CAMBIO</t>
  </si>
  <si>
    <t>TOTAL MXN</t>
  </si>
  <si>
    <t>COTIZACION</t>
  </si>
  <si>
    <t>Numero:</t>
  </si>
  <si>
    <t>Fecha:</t>
  </si>
  <si>
    <t>Elaboro:</t>
  </si>
  <si>
    <t>EMAIL.:</t>
  </si>
  <si>
    <t>TELEFONO:</t>
  </si>
  <si>
    <t>EMPRESA:</t>
  </si>
  <si>
    <t>ATENCION:</t>
  </si>
  <si>
    <t>PUESTO:</t>
  </si>
  <si>
    <t>ROSARIO KARINA ESTRADA CASTRO</t>
  </si>
  <si>
    <t>Guadalajara, Jalisco</t>
  </si>
  <si>
    <t>KLIFNET SOLUCION VEHICULAR</t>
  </si>
  <si>
    <t>TOTAL</t>
  </si>
  <si>
    <t>Luis Perez Verdia 540 int 35A</t>
  </si>
  <si>
    <t>Col.Ladron de Guevara</t>
  </si>
  <si>
    <t>CP 44600</t>
  </si>
  <si>
    <t>Cuenta bancaria:      8167011010</t>
  </si>
  <si>
    <t>Sucursal:             8195 Base Aerea Jal</t>
  </si>
  <si>
    <t>Clabe Interbancaria:  002 320 701510500598</t>
  </si>
  <si>
    <t>Teléfonos: 33-1020-0444</t>
  </si>
  <si>
    <t>BANCO DE DEPOSITO BANAMEX</t>
  </si>
  <si>
    <t>felipe.gomez@klifnet.com</t>
  </si>
  <si>
    <t>FELIPE DE JESUS GOMEZ TIRADO</t>
  </si>
  <si>
    <t>KL-100</t>
  </si>
  <si>
    <t>Administracion</t>
  </si>
  <si>
    <t>Servicio mensual 1/13</t>
  </si>
  <si>
    <t>Acrtivacion Wiatag</t>
  </si>
  <si>
    <t>Calidad 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</si>
</sst>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333333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theme="0"/>
      </bottom>
      <diagonal/>
    </border>
    <border>
      <left/>
      <right/>
      <top style="thin">
        <color auto="1"/>
      </top>
      <bottom style="thin">
        <color theme="0"/>
      </bottom>
      <diagonal/>
    </border>
    <border>
      <left/>
      <right style="thin">
        <color auto="1"/>
      </right>
      <top style="thin">
        <color auto="1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 style="thin">
        <color auto="1"/>
      </bottom>
      <diagonal/>
    </border>
    <border>
      <left/>
      <right/>
      <top style="thin">
        <color theme="0"/>
      </top>
      <bottom style="thin">
        <color auto="1"/>
      </bottom>
      <diagonal/>
    </border>
    <border>
      <left/>
      <right style="thin">
        <color auto="1"/>
      </right>
      <top style="thin">
        <color theme="0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theme="0"/>
      </bottom>
      <diagonal/>
    </border>
    <border>
      <left/>
      <right/>
      <top style="medium">
        <color indexed="64"/>
      </top>
      <bottom style="thin">
        <color theme="0"/>
      </bottom>
      <diagonal/>
    </border>
    <border>
      <left/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/>
      <top style="thin">
        <color theme="0"/>
      </top>
      <bottom style="thin">
        <color theme="0"/>
      </bottom>
      <diagonal/>
    </border>
    <border>
      <left/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thin">
        <color theme="0"/>
      </top>
      <bottom style="thin">
        <color auto="1"/>
      </bottom>
      <diagonal/>
    </border>
    <border>
      <left/>
      <right style="medium">
        <color indexed="64"/>
      </right>
      <top style="thin">
        <color theme="0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theme="0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theme="0"/>
      </bottom>
      <diagonal/>
    </border>
    <border>
      <left style="medium">
        <color indexed="64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auto="1"/>
      </right>
      <top style="thin">
        <color theme="0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theme="0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auto="1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auto="1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theme="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35">
    <xf numFmtId="0" fontId="0" fillId="0" borderId="0" xfId="0"/>
    <xf numFmtId="0" fontId="0" fillId="2" borderId="1" xfId="0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 wrapText="1"/>
    </xf>
    <xf numFmtId="0" fontId="4" fillId="0" borderId="14" xfId="0" applyFont="1" applyBorder="1"/>
    <xf numFmtId="0" fontId="4" fillId="0" borderId="12" xfId="0" applyFont="1" applyBorder="1"/>
    <xf numFmtId="0" fontId="4" fillId="0" borderId="13" xfId="0" applyFont="1" applyBorder="1"/>
    <xf numFmtId="4" fontId="4" fillId="0" borderId="12" xfId="0" applyNumberFormat="1" applyFont="1" applyBorder="1"/>
    <xf numFmtId="4" fontId="4" fillId="0" borderId="13" xfId="0" applyNumberFormat="1" applyFont="1" applyBorder="1"/>
    <xf numFmtId="4" fontId="4" fillId="0" borderId="14" xfId="0" applyNumberFormat="1" applyFont="1" applyBorder="1"/>
    <xf numFmtId="0" fontId="8" fillId="0" borderId="21" xfId="0" applyFont="1" applyBorder="1"/>
    <xf numFmtId="0" fontId="4" fillId="0" borderId="22" xfId="0" applyFont="1" applyBorder="1"/>
    <xf numFmtId="0" fontId="4" fillId="0" borderId="19" xfId="0" applyFont="1" applyBorder="1"/>
    <xf numFmtId="0" fontId="0" fillId="0" borderId="19" xfId="0" applyBorder="1"/>
    <xf numFmtId="0" fontId="7" fillId="0" borderId="22" xfId="1" applyBorder="1"/>
    <xf numFmtId="0" fontId="0" fillId="0" borderId="22" xfId="0" applyBorder="1"/>
    <xf numFmtId="0" fontId="5" fillId="0" borderId="19" xfId="0" applyFont="1" applyBorder="1"/>
    <xf numFmtId="0" fontId="0" fillId="0" borderId="24" xfId="0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2" borderId="33" xfId="0" applyFill="1" applyBorder="1" applyAlignment="1">
      <alignment horizontal="center"/>
    </xf>
    <xf numFmtId="0" fontId="0" fillId="2" borderId="34" xfId="0" applyFill="1" applyBorder="1" applyAlignment="1">
      <alignment horizontal="center"/>
    </xf>
    <xf numFmtId="0" fontId="3" fillId="2" borderId="35" xfId="0" applyFont="1" applyFill="1" applyBorder="1" applyAlignment="1">
      <alignment horizontal="center"/>
    </xf>
    <xf numFmtId="0" fontId="3" fillId="2" borderId="36" xfId="0" applyFont="1" applyFill="1" applyBorder="1" applyAlignment="1">
      <alignment horizontal="center" wrapText="1"/>
    </xf>
    <xf numFmtId="0" fontId="9" fillId="0" borderId="37" xfId="0" applyFont="1" applyBorder="1"/>
    <xf numFmtId="4" fontId="4" fillId="0" borderId="38" xfId="0" applyNumberFormat="1" applyFont="1" applyBorder="1"/>
    <xf numFmtId="0" fontId="9" fillId="0" borderId="39" xfId="0" applyFont="1" applyBorder="1"/>
    <xf numFmtId="4" fontId="4" fillId="0" borderId="40" xfId="0" applyNumberFormat="1" applyFont="1" applyBorder="1"/>
    <xf numFmtId="0" fontId="10" fillId="0" borderId="39" xfId="0" applyFont="1" applyBorder="1"/>
    <xf numFmtId="0" fontId="4" fillId="0" borderId="41" xfId="0" applyFont="1" applyBorder="1"/>
    <xf numFmtId="4" fontId="4" fillId="0" borderId="42" xfId="0" applyNumberFormat="1" applyFont="1" applyBorder="1"/>
    <xf numFmtId="0" fontId="10" fillId="0" borderId="27" xfId="0" applyFont="1" applyBorder="1"/>
    <xf numFmtId="0" fontId="10" fillId="0" borderId="29" xfId="0" applyFont="1" applyBorder="1"/>
    <xf numFmtId="0" fontId="10" fillId="0" borderId="19" xfId="0" applyFont="1" applyBorder="1"/>
    <xf numFmtId="0" fontId="10" fillId="0" borderId="19" xfId="0" applyFont="1" applyBorder="1" applyAlignment="1">
      <alignment horizontal="right"/>
    </xf>
    <xf numFmtId="0" fontId="10" fillId="0" borderId="22" xfId="0" applyFont="1" applyBorder="1" applyAlignment="1">
      <alignment horizontal="right"/>
    </xf>
    <xf numFmtId="0" fontId="8" fillId="0" borderId="43" xfId="0" applyFont="1" applyBorder="1"/>
    <xf numFmtId="0" fontId="8" fillId="0" borderId="8" xfId="0" applyFont="1" applyBorder="1"/>
    <xf numFmtId="0" fontId="8" fillId="0" borderId="8" xfId="0" applyFont="1" applyBorder="1" applyAlignment="1">
      <alignment horizontal="center"/>
    </xf>
    <xf numFmtId="0" fontId="8" fillId="0" borderId="7" xfId="0" applyFont="1" applyBorder="1" applyAlignment="1">
      <alignment horizontal="right"/>
    </xf>
    <xf numFmtId="0" fontId="0" fillId="3" borderId="43" xfId="0" applyFill="1" applyBorder="1"/>
    <xf numFmtId="0" fontId="0" fillId="3" borderId="8" xfId="0" applyFill="1" applyBorder="1"/>
    <xf numFmtId="0" fontId="0" fillId="3" borderId="8" xfId="0" applyFill="1" applyBorder="1" applyAlignment="1">
      <alignment horizontal="center"/>
    </xf>
    <xf numFmtId="0" fontId="8" fillId="3" borderId="8" xfId="0" applyFont="1" applyFill="1" applyBorder="1" applyAlignment="1">
      <alignment horizontal="right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44" xfId="0" applyBorder="1"/>
    <xf numFmtId="0" fontId="8" fillId="0" borderId="37" xfId="0" applyFont="1" applyBorder="1"/>
    <xf numFmtId="0" fontId="8" fillId="0" borderId="12" xfId="0" applyFont="1" applyBorder="1"/>
    <xf numFmtId="2" fontId="8" fillId="0" borderId="12" xfId="0" applyNumberFormat="1" applyFont="1" applyBorder="1"/>
    <xf numFmtId="4" fontId="0" fillId="0" borderId="12" xfId="0" applyNumberFormat="1" applyBorder="1"/>
    <xf numFmtId="0" fontId="0" fillId="0" borderId="39" xfId="0" applyBorder="1"/>
    <xf numFmtId="0" fontId="0" fillId="0" borderId="13" xfId="0" applyBorder="1"/>
    <xf numFmtId="2" fontId="8" fillId="0" borderId="13" xfId="0" applyNumberFormat="1" applyFont="1" applyBorder="1"/>
    <xf numFmtId="4" fontId="0" fillId="0" borderId="13" xfId="0" applyNumberFormat="1" applyBorder="1"/>
    <xf numFmtId="0" fontId="0" fillId="0" borderId="41" xfId="0" applyBorder="1"/>
    <xf numFmtId="0" fontId="0" fillId="0" borderId="14" xfId="0" applyBorder="1"/>
    <xf numFmtId="0" fontId="0" fillId="0" borderId="23" xfId="0" applyBorder="1"/>
    <xf numFmtId="2" fontId="0" fillId="0" borderId="14" xfId="0" applyNumberFormat="1" applyBorder="1"/>
    <xf numFmtId="2" fontId="0" fillId="0" borderId="42" xfId="0" applyNumberFormat="1" applyBorder="1"/>
    <xf numFmtId="0" fontId="0" fillId="0" borderId="45" xfId="0" applyBorder="1"/>
    <xf numFmtId="0" fontId="0" fillId="0" borderId="9" xfId="0" applyBorder="1"/>
    <xf numFmtId="0" fontId="8" fillId="0" borderId="9" xfId="0" applyFont="1" applyBorder="1"/>
    <xf numFmtId="0" fontId="0" fillId="0" borderId="47" xfId="0" applyBorder="1"/>
    <xf numFmtId="0" fontId="0" fillId="0" borderId="10" xfId="0" applyBorder="1"/>
    <xf numFmtId="0" fontId="8" fillId="0" borderId="10" xfId="0" applyFont="1" applyBorder="1"/>
    <xf numFmtId="0" fontId="8" fillId="0" borderId="10" xfId="0" applyFont="1" applyBorder="1" applyAlignment="1">
      <alignment horizontal="right"/>
    </xf>
    <xf numFmtId="0" fontId="0" fillId="0" borderId="49" xfId="0" applyBorder="1"/>
    <xf numFmtId="0" fontId="0" fillId="0" borderId="11" xfId="0" applyBorder="1"/>
    <xf numFmtId="0" fontId="8" fillId="0" borderId="11" xfId="0" applyFont="1" applyBorder="1"/>
    <xf numFmtId="0" fontId="8" fillId="0" borderId="50" xfId="0" applyFont="1" applyBorder="1"/>
    <xf numFmtId="0" fontId="8" fillId="3" borderId="43" xfId="0" applyFont="1" applyFill="1" applyBorder="1"/>
    <xf numFmtId="0" fontId="8" fillId="3" borderId="8" xfId="0" applyFont="1" applyFill="1" applyBorder="1" applyAlignment="1">
      <alignment horizontal="center"/>
    </xf>
    <xf numFmtId="0" fontId="10" fillId="0" borderId="45" xfId="0" applyFont="1" applyBorder="1" applyAlignment="1">
      <alignment vertical="center"/>
    </xf>
    <xf numFmtId="0" fontId="10" fillId="0" borderId="9" xfId="0" applyFont="1" applyBorder="1"/>
    <xf numFmtId="0" fontId="11" fillId="0" borderId="9" xfId="0" applyFont="1" applyBorder="1" applyAlignment="1">
      <alignment vertical="center"/>
    </xf>
    <xf numFmtId="0" fontId="10" fillId="0" borderId="46" xfId="0" applyFont="1" applyBorder="1"/>
    <xf numFmtId="0" fontId="11" fillId="0" borderId="10" xfId="0" applyFont="1" applyBorder="1" applyAlignment="1">
      <alignment vertical="center"/>
    </xf>
    <xf numFmtId="0" fontId="10" fillId="0" borderId="10" xfId="0" applyFont="1" applyBorder="1"/>
    <xf numFmtId="0" fontId="12" fillId="0" borderId="10" xfId="0" applyFont="1" applyBorder="1"/>
    <xf numFmtId="0" fontId="10" fillId="0" borderId="48" xfId="0" applyFont="1" applyBorder="1"/>
    <xf numFmtId="0" fontId="13" fillId="0" borderId="47" xfId="0" applyFont="1" applyBorder="1" applyAlignment="1">
      <alignment vertical="center"/>
    </xf>
    <xf numFmtId="0" fontId="13" fillId="0" borderId="51" xfId="0" applyFont="1" applyBorder="1" applyAlignment="1">
      <alignment vertical="center"/>
    </xf>
    <xf numFmtId="0" fontId="10" fillId="0" borderId="52" xfId="0" applyFont="1" applyBorder="1"/>
    <xf numFmtId="0" fontId="11" fillId="0" borderId="52" xfId="0" applyFont="1" applyBorder="1" applyAlignment="1">
      <alignment vertical="center"/>
    </xf>
    <xf numFmtId="0" fontId="10" fillId="0" borderId="53" xfId="0" applyFont="1" applyBorder="1"/>
    <xf numFmtId="4" fontId="2" fillId="0" borderId="13" xfId="0" applyNumberFormat="1" applyFont="1" applyBorder="1"/>
    <xf numFmtId="4" fontId="0" fillId="0" borderId="34" xfId="0" applyNumberFormat="1" applyBorder="1"/>
    <xf numFmtId="4" fontId="0" fillId="0" borderId="54" xfId="0" applyNumberFormat="1" applyBorder="1"/>
    <xf numFmtId="4" fontId="1" fillId="0" borderId="12" xfId="0" applyNumberFormat="1" applyFont="1" applyBorder="1"/>
    <xf numFmtId="0" fontId="6" fillId="2" borderId="25" xfId="0" applyFont="1" applyFill="1" applyBorder="1" applyAlignment="1">
      <alignment horizontal="center"/>
    </xf>
    <xf numFmtId="0" fontId="6" fillId="2" borderId="26" xfId="0" applyFont="1" applyFill="1" applyBorder="1" applyAlignment="1">
      <alignment horizontal="center"/>
    </xf>
    <xf numFmtId="0" fontId="10" fillId="0" borderId="47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4" fontId="8" fillId="4" borderId="6" xfId="0" applyNumberFormat="1" applyFont="1" applyFill="1" applyBorder="1" applyAlignment="1">
      <alignment horizontal="center"/>
    </xf>
    <xf numFmtId="4" fontId="8" fillId="4" borderId="44" xfId="0" applyNumberFormat="1" applyFont="1" applyFill="1" applyBorder="1" applyAlignment="1">
      <alignment horizontal="center"/>
    </xf>
    <xf numFmtId="164" fontId="8" fillId="3" borderId="8" xfId="0" applyNumberFormat="1" applyFont="1" applyFill="1" applyBorder="1" applyAlignment="1">
      <alignment horizontal="center" wrapText="1"/>
    </xf>
    <xf numFmtId="164" fontId="8" fillId="3" borderId="44" xfId="0" applyNumberFormat="1" applyFont="1" applyFill="1" applyBorder="1" applyAlignment="1">
      <alignment horizontal="center" wrapText="1"/>
    </xf>
    <xf numFmtId="4" fontId="8" fillId="0" borderId="9" xfId="0" applyNumberFormat="1" applyFont="1" applyBorder="1" applyAlignment="1">
      <alignment horizontal="right"/>
    </xf>
    <xf numFmtId="4" fontId="8" fillId="0" borderId="46" xfId="0" applyNumberFormat="1" applyFont="1" applyBorder="1" applyAlignment="1">
      <alignment horizontal="right"/>
    </xf>
    <xf numFmtId="4" fontId="8" fillId="0" borderId="10" xfId="0" applyNumberFormat="1" applyFont="1" applyBorder="1" applyAlignment="1">
      <alignment horizontal="right"/>
    </xf>
    <xf numFmtId="4" fontId="8" fillId="0" borderId="48" xfId="0" applyNumberFormat="1" applyFont="1" applyBorder="1" applyAlignment="1">
      <alignment horizontal="right"/>
    </xf>
    <xf numFmtId="4" fontId="8" fillId="0" borderId="10" xfId="0" applyNumberFormat="1" applyFont="1" applyBorder="1" applyAlignment="1">
      <alignment horizontal="center"/>
    </xf>
    <xf numFmtId="4" fontId="8" fillId="0" borderId="48" xfId="0" applyNumberFormat="1" applyFont="1" applyBorder="1" applyAlignment="1">
      <alignment horizontal="center"/>
    </xf>
    <xf numFmtId="0" fontId="4" fillId="0" borderId="18" xfId="0" applyFont="1" applyBorder="1" applyAlignment="1">
      <alignment horizontal="left"/>
    </xf>
    <xf numFmtId="0" fontId="4" fillId="0" borderId="19" xfId="0" applyFont="1" applyBorder="1" applyAlignment="1">
      <alignment horizontal="left"/>
    </xf>
    <xf numFmtId="0" fontId="4" fillId="0" borderId="20" xfId="0" applyFont="1" applyBorder="1" applyAlignment="1">
      <alignment horizontal="left"/>
    </xf>
    <xf numFmtId="0" fontId="4" fillId="0" borderId="21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17" fontId="8" fillId="0" borderId="18" xfId="0" quotePrefix="1" applyNumberFormat="1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8" fillId="0" borderId="20" xfId="0" applyFont="1" applyBorder="1" applyAlignment="1">
      <alignment horizontal="center"/>
    </xf>
    <xf numFmtId="0" fontId="0" fillId="0" borderId="19" xfId="0" quotePrefix="1" applyBorder="1" applyAlignment="1">
      <alignment horizontal="center"/>
    </xf>
    <xf numFmtId="15" fontId="0" fillId="0" borderId="19" xfId="0" applyNumberForma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2" borderId="2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9" fillId="0" borderId="15" xfId="0" quotePrefix="1" applyFont="1" applyBorder="1" applyAlignment="1">
      <alignment horizontal="left"/>
    </xf>
    <xf numFmtId="0" fontId="9" fillId="0" borderId="16" xfId="0" applyFont="1" applyBorder="1" applyAlignment="1">
      <alignment horizontal="left"/>
    </xf>
    <xf numFmtId="0" fontId="9" fillId="0" borderId="17" xfId="0" applyFont="1" applyBorder="1" applyAlignment="1">
      <alignment horizontal="left"/>
    </xf>
    <xf numFmtId="4" fontId="8" fillId="0" borderId="6" xfId="0" applyNumberFormat="1" applyFont="1" applyBorder="1" applyAlignment="1">
      <alignment horizontal="center"/>
    </xf>
    <xf numFmtId="4" fontId="8" fillId="0" borderId="44" xfId="0" applyNumberFormat="1" applyFont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9" fillId="0" borderId="18" xfId="0" quotePrefix="1" applyFont="1" applyBorder="1" applyAlignment="1">
      <alignment horizontal="left"/>
    </xf>
    <xf numFmtId="0" fontId="9" fillId="0" borderId="19" xfId="0" applyFont="1" applyBorder="1" applyAlignment="1">
      <alignment horizontal="left"/>
    </xf>
    <xf numFmtId="0" fontId="9" fillId="0" borderId="20" xfId="0" applyFont="1" applyBorder="1" applyAlignment="1">
      <alignment horizontal="lef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92364</xdr:colOff>
      <xdr:row>1</xdr:row>
      <xdr:rowOff>69273</xdr:rowOff>
    </xdr:from>
    <xdr:to>
      <xdr:col>4</xdr:col>
      <xdr:colOff>588818</xdr:colOff>
      <xdr:row>4</xdr:row>
      <xdr:rowOff>117274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1E879F1-EA10-924B-8615-F859C30D9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273" y="277091"/>
          <a:ext cx="2574636" cy="6714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elipe.gomez@klifne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J38"/>
  <sheetViews>
    <sheetView tabSelected="1" zoomScale="110" zoomScaleNormal="110" workbookViewId="0">
      <selection activeCell="L15" sqref="L15"/>
    </sheetView>
  </sheetViews>
  <sheetFormatPr baseColWidth="10" defaultRowHeight="15" x14ac:dyDescent="0.2"/>
  <cols>
    <col min="1" max="1" width="3" customWidth="1"/>
    <col min="2" max="2" width="8.83203125" customWidth="1"/>
    <col min="3" max="3" width="7.5" customWidth="1"/>
    <col min="5" max="5" width="8.5" customWidth="1"/>
    <col min="6" max="6" width="7.5" customWidth="1"/>
    <col min="8" max="8" width="8.83203125" customWidth="1"/>
    <col min="9" max="9" width="10.6640625" customWidth="1"/>
    <col min="10" max="10" width="14" customWidth="1"/>
  </cols>
  <sheetData>
    <row r="1" spans="2:10" ht="16" thickBot="1" x14ac:dyDescent="0.25"/>
    <row r="2" spans="2:10" ht="18.75" customHeight="1" x14ac:dyDescent="0.25">
      <c r="B2" s="17"/>
      <c r="C2" s="18"/>
      <c r="D2" s="18"/>
      <c r="E2" s="18"/>
      <c r="F2" s="18"/>
      <c r="G2" s="94" t="s">
        <v>17</v>
      </c>
      <c r="H2" s="94"/>
      <c r="I2" s="94"/>
      <c r="J2" s="95"/>
    </row>
    <row r="3" spans="2:10" x14ac:dyDescent="0.2">
      <c r="B3" s="19"/>
      <c r="C3" s="13"/>
      <c r="D3" s="13"/>
      <c r="E3" s="13"/>
      <c r="F3" s="13"/>
      <c r="G3" s="37" t="s">
        <v>18</v>
      </c>
      <c r="H3" s="122">
        <v>806</v>
      </c>
      <c r="I3" s="122"/>
      <c r="J3" s="20"/>
    </row>
    <row r="4" spans="2:10" x14ac:dyDescent="0.2">
      <c r="B4" s="19"/>
      <c r="C4" s="13"/>
      <c r="D4" s="13"/>
      <c r="E4" s="13"/>
      <c r="F4" s="13"/>
      <c r="G4" s="37" t="s">
        <v>19</v>
      </c>
      <c r="H4" s="121">
        <f ca="1">TODAY()</f>
        <v>46125</v>
      </c>
      <c r="I4" s="121"/>
      <c r="J4" s="20"/>
    </row>
    <row r="5" spans="2:10" x14ac:dyDescent="0.2">
      <c r="B5" s="19"/>
      <c r="C5" s="13"/>
      <c r="D5" s="13"/>
      <c r="E5" s="13"/>
      <c r="F5" s="13"/>
      <c r="G5" s="37" t="s">
        <v>20</v>
      </c>
      <c r="H5" s="13" t="s">
        <v>39</v>
      </c>
      <c r="I5" s="13"/>
      <c r="J5" s="20"/>
    </row>
    <row r="6" spans="2:10" ht="16" x14ac:dyDescent="0.2">
      <c r="B6" s="35" t="s">
        <v>23</v>
      </c>
      <c r="C6" s="16" t="s">
        <v>44</v>
      </c>
      <c r="D6" s="12"/>
      <c r="E6" s="12"/>
      <c r="F6" s="12"/>
      <c r="G6" s="12"/>
      <c r="H6" s="13"/>
      <c r="I6" s="13"/>
      <c r="J6" s="20"/>
    </row>
    <row r="7" spans="2:10" ht="16" x14ac:dyDescent="0.2">
      <c r="B7" s="35" t="s">
        <v>24</v>
      </c>
      <c r="C7" s="16"/>
      <c r="D7" s="12"/>
      <c r="E7" s="12"/>
      <c r="F7" s="12"/>
      <c r="G7" s="38" t="s">
        <v>22</v>
      </c>
      <c r="H7" s="120">
        <v>3310200444</v>
      </c>
      <c r="I7" s="120"/>
      <c r="J7" s="20"/>
    </row>
    <row r="8" spans="2:10" ht="16" x14ac:dyDescent="0.2">
      <c r="B8" s="36" t="s">
        <v>25</v>
      </c>
      <c r="C8" s="11" t="s">
        <v>41</v>
      </c>
      <c r="D8" s="11"/>
      <c r="E8" s="11"/>
      <c r="F8" s="11"/>
      <c r="G8" s="39" t="s">
        <v>21</v>
      </c>
      <c r="H8" s="14" t="s">
        <v>38</v>
      </c>
      <c r="I8" s="15"/>
      <c r="J8" s="21"/>
    </row>
    <row r="9" spans="2:10" ht="7.5" customHeight="1" x14ac:dyDescent="0.2">
      <c r="B9" s="22"/>
      <c r="J9" s="23"/>
    </row>
    <row r="10" spans="2:10" x14ac:dyDescent="0.2">
      <c r="B10" s="24"/>
      <c r="C10" s="1"/>
      <c r="D10" s="123"/>
      <c r="E10" s="124"/>
      <c r="F10" s="125"/>
      <c r="G10" s="1"/>
      <c r="H10" s="1"/>
      <c r="I10" s="1"/>
      <c r="J10" s="25"/>
    </row>
    <row r="11" spans="2:10" ht="32" x14ac:dyDescent="0.2">
      <c r="B11" s="26" t="s">
        <v>1</v>
      </c>
      <c r="C11" s="2" t="s">
        <v>2</v>
      </c>
      <c r="D11" s="131" t="s">
        <v>3</v>
      </c>
      <c r="E11" s="131"/>
      <c r="F11" s="131"/>
      <c r="G11" s="3" t="s">
        <v>4</v>
      </c>
      <c r="H11" s="3" t="s">
        <v>5</v>
      </c>
      <c r="I11" s="3" t="s">
        <v>6</v>
      </c>
      <c r="J11" s="27" t="s">
        <v>7</v>
      </c>
    </row>
    <row r="12" spans="2:10" ht="16" x14ac:dyDescent="0.2">
      <c r="B12" s="28" t="s">
        <v>40</v>
      </c>
      <c r="C12" s="5">
        <v>8</v>
      </c>
      <c r="D12" s="126" t="s">
        <v>43</v>
      </c>
      <c r="E12" s="127"/>
      <c r="F12" s="128"/>
      <c r="G12" s="93">
        <v>350</v>
      </c>
      <c r="H12" s="7"/>
      <c r="I12" s="7">
        <f>G12-H12</f>
        <v>350</v>
      </c>
      <c r="J12" s="29">
        <f>I12*C12</f>
        <v>2800</v>
      </c>
    </row>
    <row r="13" spans="2:10" ht="16" x14ac:dyDescent="0.2">
      <c r="B13" s="30"/>
      <c r="C13" s="6"/>
      <c r="D13" s="132"/>
      <c r="E13" s="133"/>
      <c r="F13" s="134"/>
      <c r="G13" s="90"/>
      <c r="H13" s="8"/>
      <c r="I13" s="8"/>
      <c r="J13" s="31">
        <f>I13*C13</f>
        <v>0</v>
      </c>
    </row>
    <row r="14" spans="2:10" ht="16" x14ac:dyDescent="0.2">
      <c r="B14" s="30"/>
      <c r="C14" s="6"/>
      <c r="D14" s="132"/>
      <c r="E14" s="133"/>
      <c r="F14" s="134"/>
      <c r="G14" s="8"/>
      <c r="H14" s="8"/>
      <c r="I14" s="8"/>
      <c r="J14" s="31">
        <f>I14</f>
        <v>0</v>
      </c>
    </row>
    <row r="15" spans="2:10" ht="16" x14ac:dyDescent="0.2">
      <c r="B15" s="30"/>
      <c r="C15" s="6"/>
      <c r="D15" s="132"/>
      <c r="E15" s="133"/>
      <c r="F15" s="134"/>
      <c r="G15" s="8"/>
      <c r="H15" s="8"/>
      <c r="I15" s="8"/>
      <c r="J15" s="31"/>
    </row>
    <row r="16" spans="2:10" ht="16" x14ac:dyDescent="0.2">
      <c r="B16" s="32"/>
      <c r="C16" s="6"/>
      <c r="D16" s="108"/>
      <c r="E16" s="109"/>
      <c r="F16" s="110"/>
      <c r="G16" s="8"/>
      <c r="H16" s="8"/>
      <c r="I16" s="8"/>
      <c r="J16" s="31"/>
    </row>
    <row r="17" spans="2:10" ht="16" x14ac:dyDescent="0.2">
      <c r="B17" s="33"/>
      <c r="C17" s="4"/>
      <c r="D17" s="111"/>
      <c r="E17" s="112"/>
      <c r="F17" s="113"/>
      <c r="G17" s="9"/>
      <c r="H17" s="9"/>
      <c r="I17" s="9"/>
      <c r="J17" s="34"/>
    </row>
    <row r="18" spans="2:10" x14ac:dyDescent="0.2">
      <c r="B18" s="40"/>
      <c r="C18" s="41"/>
      <c r="D18" s="42"/>
      <c r="E18" s="42"/>
      <c r="F18" s="42"/>
      <c r="G18" s="41"/>
      <c r="H18" s="43" t="s">
        <v>8</v>
      </c>
      <c r="I18" s="129">
        <f>SUM(J12:J17)</f>
        <v>2800</v>
      </c>
      <c r="J18" s="130"/>
    </row>
    <row r="19" spans="2:10" x14ac:dyDescent="0.2">
      <c r="B19" s="44"/>
      <c r="C19" s="45"/>
      <c r="D19" s="46"/>
      <c r="E19" s="46"/>
      <c r="F19" s="46"/>
      <c r="G19" s="45"/>
      <c r="H19" s="47" t="s">
        <v>9</v>
      </c>
      <c r="I19" s="100">
        <f>I18</f>
        <v>2800</v>
      </c>
      <c r="J19" s="101"/>
    </row>
    <row r="20" spans="2:10" x14ac:dyDescent="0.2">
      <c r="B20" s="40" t="s">
        <v>0</v>
      </c>
      <c r="C20" s="48"/>
      <c r="D20" s="49"/>
      <c r="E20" s="49"/>
      <c r="F20" s="49"/>
      <c r="G20" s="48"/>
      <c r="H20" s="48"/>
      <c r="I20" s="48"/>
      <c r="J20" s="50"/>
    </row>
    <row r="21" spans="2:10" x14ac:dyDescent="0.2">
      <c r="B21" s="51"/>
      <c r="C21" s="52">
        <v>8</v>
      </c>
      <c r="D21" s="114" t="s">
        <v>42</v>
      </c>
      <c r="E21" s="115"/>
      <c r="F21" s="116"/>
      <c r="G21" s="53">
        <v>190</v>
      </c>
      <c r="H21" s="54"/>
      <c r="I21" s="54">
        <v>190</v>
      </c>
      <c r="J21" s="91">
        <f>I21*C21</f>
        <v>1520</v>
      </c>
    </row>
    <row r="22" spans="2:10" x14ac:dyDescent="0.2">
      <c r="B22" s="55"/>
      <c r="C22" s="56"/>
      <c r="D22" s="117"/>
      <c r="E22" s="118"/>
      <c r="F22" s="119"/>
      <c r="G22" s="57"/>
      <c r="H22" s="58"/>
      <c r="I22" s="58"/>
      <c r="J22" s="92"/>
    </row>
    <row r="23" spans="2:10" x14ac:dyDescent="0.2">
      <c r="B23" s="59"/>
      <c r="C23" s="60"/>
      <c r="D23" s="10"/>
      <c r="E23" s="15"/>
      <c r="F23" s="61"/>
      <c r="G23" s="62"/>
      <c r="H23" s="62"/>
      <c r="I23" s="62"/>
      <c r="J23" s="63"/>
    </row>
    <row r="24" spans="2:10" x14ac:dyDescent="0.2">
      <c r="B24" s="40"/>
      <c r="C24" s="41"/>
      <c r="D24" s="42"/>
      <c r="E24" s="42"/>
      <c r="F24" s="42"/>
      <c r="G24" s="41"/>
      <c r="H24" s="43" t="s">
        <v>10</v>
      </c>
      <c r="I24" s="98">
        <f>J21+J22</f>
        <v>1520</v>
      </c>
      <c r="J24" s="99"/>
    </row>
    <row r="25" spans="2:10" x14ac:dyDescent="0.2">
      <c r="B25" s="40" t="s">
        <v>11</v>
      </c>
      <c r="C25" s="48"/>
      <c r="D25" s="49"/>
      <c r="E25" s="49"/>
      <c r="F25" s="49"/>
      <c r="G25" s="48"/>
      <c r="H25" s="48"/>
      <c r="I25" s="48"/>
      <c r="J25" s="50"/>
    </row>
    <row r="26" spans="2:10" x14ac:dyDescent="0.2">
      <c r="B26" s="64"/>
      <c r="C26" s="65"/>
      <c r="D26" s="66" t="s">
        <v>8</v>
      </c>
      <c r="E26" s="66"/>
      <c r="F26" s="66"/>
      <c r="G26" s="66"/>
      <c r="H26" s="66"/>
      <c r="I26" s="102">
        <f>I18</f>
        <v>2800</v>
      </c>
      <c r="J26" s="103"/>
    </row>
    <row r="27" spans="2:10" x14ac:dyDescent="0.2">
      <c r="B27" s="67"/>
      <c r="C27" s="68"/>
      <c r="D27" s="69" t="s">
        <v>12</v>
      </c>
      <c r="E27" s="69"/>
      <c r="F27" s="69"/>
      <c r="G27" s="69"/>
      <c r="H27" s="69"/>
      <c r="I27" s="104">
        <f>I24</f>
        <v>1520</v>
      </c>
      <c r="J27" s="105"/>
    </row>
    <row r="28" spans="2:10" x14ac:dyDescent="0.2">
      <c r="B28" s="67"/>
      <c r="C28" s="68"/>
      <c r="D28" s="69" t="s">
        <v>13</v>
      </c>
      <c r="E28" s="69"/>
      <c r="F28" s="69"/>
      <c r="G28" s="69"/>
      <c r="H28" s="69"/>
      <c r="I28" s="104">
        <f>I26+I27</f>
        <v>4320</v>
      </c>
      <c r="J28" s="105"/>
    </row>
    <row r="29" spans="2:10" x14ac:dyDescent="0.2">
      <c r="B29" s="67"/>
      <c r="C29" s="68"/>
      <c r="D29" s="69"/>
      <c r="E29" s="69"/>
      <c r="F29" s="69"/>
      <c r="G29" s="69"/>
      <c r="H29" s="70" t="s">
        <v>14</v>
      </c>
      <c r="I29" s="104">
        <f>I28*0.16</f>
        <v>691.2</v>
      </c>
      <c r="J29" s="105"/>
    </row>
    <row r="30" spans="2:10" x14ac:dyDescent="0.2">
      <c r="B30" s="67"/>
      <c r="C30" s="68"/>
      <c r="D30" s="69"/>
      <c r="E30" s="69"/>
      <c r="F30" s="69"/>
      <c r="G30" s="69"/>
      <c r="H30" s="70" t="s">
        <v>29</v>
      </c>
      <c r="I30" s="106">
        <f>I28+I29</f>
        <v>5011.2</v>
      </c>
      <c r="J30" s="107"/>
    </row>
    <row r="31" spans="2:10" x14ac:dyDescent="0.2">
      <c r="B31" s="71"/>
      <c r="C31" s="72"/>
      <c r="D31" s="72"/>
      <c r="E31" s="72"/>
      <c r="F31" s="72"/>
      <c r="G31" s="72"/>
      <c r="H31" s="72"/>
      <c r="I31" s="73"/>
      <c r="J31" s="74"/>
    </row>
    <row r="32" spans="2:10" x14ac:dyDescent="0.2">
      <c r="B32" s="75"/>
      <c r="C32" s="47" t="s">
        <v>15</v>
      </c>
      <c r="D32" s="76">
        <v>1</v>
      </c>
      <c r="E32" s="46"/>
      <c r="F32" s="46"/>
      <c r="G32" s="45"/>
      <c r="H32" s="47" t="s">
        <v>16</v>
      </c>
      <c r="I32" s="100">
        <f>I30*D32</f>
        <v>5011.2</v>
      </c>
      <c r="J32" s="101"/>
    </row>
    <row r="33" spans="2:10" x14ac:dyDescent="0.2">
      <c r="B33" s="77"/>
      <c r="C33" s="78"/>
      <c r="D33" s="78"/>
      <c r="E33" s="78"/>
      <c r="F33" s="78"/>
      <c r="G33" s="79" t="s">
        <v>26</v>
      </c>
      <c r="H33" s="78"/>
      <c r="I33" s="78"/>
      <c r="J33" s="80"/>
    </row>
    <row r="34" spans="2:10" x14ac:dyDescent="0.2">
      <c r="B34" s="96" t="s">
        <v>37</v>
      </c>
      <c r="C34" s="97"/>
      <c r="D34" s="97"/>
      <c r="E34" s="81"/>
      <c r="F34" s="82"/>
      <c r="G34" s="83" t="s">
        <v>28</v>
      </c>
      <c r="H34" s="82"/>
      <c r="I34" s="82"/>
      <c r="J34" s="84"/>
    </row>
    <row r="35" spans="2:10" x14ac:dyDescent="0.2">
      <c r="B35" s="85" t="s">
        <v>26</v>
      </c>
      <c r="C35" s="82"/>
      <c r="D35" s="82"/>
      <c r="E35" s="82"/>
      <c r="F35" s="82"/>
      <c r="G35" s="81" t="s">
        <v>30</v>
      </c>
      <c r="H35" s="82"/>
      <c r="I35" s="82"/>
      <c r="J35" s="84"/>
    </row>
    <row r="36" spans="2:10" x14ac:dyDescent="0.2">
      <c r="B36" s="85" t="s">
        <v>33</v>
      </c>
      <c r="C36" s="82"/>
      <c r="D36" s="82"/>
      <c r="E36" s="82"/>
      <c r="F36" s="82"/>
      <c r="G36" s="81" t="s">
        <v>31</v>
      </c>
      <c r="H36" s="82"/>
      <c r="I36" s="82"/>
      <c r="J36" s="84"/>
    </row>
    <row r="37" spans="2:10" x14ac:dyDescent="0.2">
      <c r="B37" s="85" t="s">
        <v>34</v>
      </c>
      <c r="C37" s="82"/>
      <c r="D37" s="82"/>
      <c r="E37" s="82"/>
      <c r="F37" s="82"/>
      <c r="G37" s="81" t="s">
        <v>27</v>
      </c>
      <c r="H37" s="82"/>
      <c r="I37" s="81" t="s">
        <v>32</v>
      </c>
      <c r="J37" s="84"/>
    </row>
    <row r="38" spans="2:10" ht="16" thickBot="1" x14ac:dyDescent="0.25">
      <c r="B38" s="86" t="s">
        <v>35</v>
      </c>
      <c r="C38" s="87"/>
      <c r="D38" s="87"/>
      <c r="E38" s="87"/>
      <c r="F38" s="87"/>
      <c r="G38" s="88" t="s">
        <v>36</v>
      </c>
      <c r="H38" s="87"/>
      <c r="I38" s="87"/>
      <c r="J38" s="89"/>
    </row>
  </sheetData>
  <mergeCells count="24">
    <mergeCell ref="D10:F10"/>
    <mergeCell ref="D12:F12"/>
    <mergeCell ref="I18:J18"/>
    <mergeCell ref="I19:J19"/>
    <mergeCell ref="D11:F11"/>
    <mergeCell ref="D13:F13"/>
    <mergeCell ref="D14:F14"/>
    <mergeCell ref="D15:F15"/>
    <mergeCell ref="G2:J2"/>
    <mergeCell ref="B34:D34"/>
    <mergeCell ref="I24:J24"/>
    <mergeCell ref="I32:J32"/>
    <mergeCell ref="I26:J26"/>
    <mergeCell ref="I27:J27"/>
    <mergeCell ref="I28:J28"/>
    <mergeCell ref="I29:J29"/>
    <mergeCell ref="I30:J30"/>
    <mergeCell ref="D16:F16"/>
    <mergeCell ref="D17:F17"/>
    <mergeCell ref="D21:F21"/>
    <mergeCell ref="D22:F22"/>
    <mergeCell ref="H7:I7"/>
    <mergeCell ref="H4:I4"/>
    <mergeCell ref="H3:I3"/>
  </mergeCells>
  <hyperlinks>
    <hyperlink ref="H8" r:id="rId1" xr:uid="{4AAD2DEF-9C81-4F93-A6EC-092319776FAB}"/>
  </hyperlinks>
  <pageMargins left="0.25" right="0.25" top="0.75" bottom="0.75" header="0.3" footer="0.3"/>
  <pageSetup scale="80" orientation="portrait" verticalDpi="30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restradac</dc:creator>
  <cp:lastModifiedBy>FELIPE DE JESUS GOMEZ TIRADO</cp:lastModifiedBy>
  <cp:lastPrinted>2024-10-23T14:20:19Z</cp:lastPrinted>
  <dcterms:created xsi:type="dcterms:W3CDTF">2015-11-07T17:21:49Z</dcterms:created>
  <dcterms:modified xsi:type="dcterms:W3CDTF">2026-04-13T19:15:39Z</dcterms:modified>
</cp:coreProperties>
</file>